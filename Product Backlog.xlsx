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mc:AlternateContent xmlns:mc="http://schemas.openxmlformats.org/markup-compatibility/2006">
    <mc:Choice Requires="x15">
      <x15ac:absPath xmlns:x15ac="http://schemas.microsoft.com/office/spreadsheetml/2010/11/ac" url="https://bandteccom-my.sharepoint.com/personal/isabela_rodrigues_sptech_school/Documents/SMF/T.I/BackLog da Sprint (Demanda, Pontuação, Prioridade)/"/>
    </mc:Choice>
  </mc:AlternateContent>
  <xr:revisionPtr revIDLastSave="0" documentId="8_{F69AA9F6-5BC2-4C0A-BC41-6624494B2EFC}" xr6:coauthVersionLast="47" xr6:coauthVersionMax="47" xr10:uidLastSave="{00000000-0000-0000-0000-000000000000}"/>
  <bookViews>
    <workbookView minimized="1" xWindow="1152" yWindow="1152" windowWidth="17280" windowHeight="8880" xr2:uid="{00000000-000D-0000-FFFF-FFFF00000000}"/>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9" i="1" l="1"/>
  <c r="W18" i="1"/>
  <c r="W17" i="1"/>
  <c r="W16" i="1"/>
  <c r="W15" i="1"/>
  <c r="W14" i="1"/>
  <c r="W13" i="1"/>
  <c r="W12" i="1"/>
  <c r="W11" i="1"/>
  <c r="W10" i="1"/>
  <c r="W9" i="1"/>
  <c r="W8" i="1"/>
  <c r="W7" i="1"/>
  <c r="W6" i="1"/>
  <c r="X8" i="1"/>
  <c r="X9" i="1"/>
  <c r="X10" i="1"/>
  <c r="X11" i="1"/>
  <c r="X12" i="1"/>
  <c r="X14" i="1"/>
  <c r="X15" i="1"/>
  <c r="X16" i="1"/>
  <c r="X17" i="1"/>
  <c r="X18" i="1"/>
  <c r="X19" i="1"/>
  <c r="V9" i="1"/>
  <c r="V10" i="1"/>
  <c r="V11" i="1"/>
  <c r="V12" i="1"/>
  <c r="V15" i="1"/>
  <c r="V16" i="1"/>
  <c r="V17" i="1"/>
  <c r="V18" i="1"/>
  <c r="V19" i="1"/>
  <c r="U19" i="1"/>
  <c r="U18" i="1"/>
  <c r="U17" i="1"/>
  <c r="U16" i="1"/>
  <c r="U15" i="1"/>
  <c r="U14" i="1"/>
  <c r="U12" i="1"/>
  <c r="U11" i="1"/>
  <c r="U10" i="1"/>
  <c r="U9" i="1"/>
  <c r="U13" i="1"/>
  <c r="X7" i="1"/>
  <c r="V8" i="1" s="1"/>
  <c r="X6" i="1"/>
  <c r="W5" i="1"/>
  <c r="V7" i="1"/>
  <c r="V6" i="1"/>
  <c r="U8" i="1"/>
  <c r="U7" i="1"/>
  <c r="U6" i="1"/>
  <c r="U5" i="1"/>
  <c r="R5" i="1"/>
  <c r="R7" i="1"/>
  <c r="R6" i="1"/>
  <c r="M6" i="1"/>
  <c r="M7" i="1"/>
  <c r="M8" i="1"/>
  <c r="M9" i="1"/>
  <c r="M10" i="1"/>
  <c r="M11" i="1"/>
  <c r="M12" i="1"/>
  <c r="M13" i="1"/>
  <c r="M14" i="1"/>
  <c r="M15" i="1"/>
  <c r="M16" i="1"/>
  <c r="M17" i="1"/>
  <c r="M18" i="1"/>
  <c r="M19" i="1"/>
  <c r="M20" i="1"/>
  <c r="M5" i="1"/>
  <c r="X13" i="1" l="1"/>
  <c r="V14" i="1" s="1"/>
  <c r="V13" i="1"/>
  <c r="R4" i="1"/>
  <c r="R8" i="1"/>
</calcChain>
</file>

<file path=xl/sharedStrings.xml><?xml version="1.0" encoding="utf-8"?>
<sst xmlns="http://schemas.openxmlformats.org/spreadsheetml/2006/main" count="163" uniqueCount="89">
  <si>
    <t>BACKLOG SMF</t>
  </si>
  <si>
    <t>TOTAL SPRINT</t>
  </si>
  <si>
    <t>TABELA FIBONACCI</t>
  </si>
  <si>
    <t>Status</t>
  </si>
  <si>
    <t>Requisitos</t>
  </si>
  <si>
    <t>Descrição</t>
  </si>
  <si>
    <t>Classificação</t>
  </si>
  <si>
    <t>Tamanho</t>
  </si>
  <si>
    <t>TAM(#)</t>
  </si>
  <si>
    <t>Prioridade</t>
  </si>
  <si>
    <t>Sprint</t>
  </si>
  <si>
    <t>TOTAL</t>
  </si>
  <si>
    <t>SPRINTS</t>
  </si>
  <si>
    <t>A FAZER</t>
  </si>
  <si>
    <t>PLANEJADO + PENDENTE</t>
  </si>
  <si>
    <t>ENTREGUE</t>
  </si>
  <si>
    <t>PENDENTE</t>
  </si>
  <si>
    <t>FEITO</t>
  </si>
  <si>
    <t>Identificar os Proto-Persona do Projeto</t>
  </si>
  <si>
    <t>As Proto-Personas serão aqueles que irão usufruir do nosso projeto, seja eles equipes de suporte de TI, os Gestores, etc</t>
  </si>
  <si>
    <t>Essencial</t>
  </si>
  <si>
    <t>M</t>
  </si>
  <si>
    <t>SP1.2</t>
  </si>
  <si>
    <t>SP1</t>
  </si>
  <si>
    <t>SP1.1</t>
  </si>
  <si>
    <t>Criar a Documentação com Contexto e Justificativa</t>
  </si>
  <si>
    <t>Começar a Documentação com o essencial que se pediu na primeira semana, o Contexto e Justificativa e completar a mesma até final desta Sprint</t>
  </si>
  <si>
    <t>GG</t>
  </si>
  <si>
    <t>SP2</t>
  </si>
  <si>
    <t>Pesquisar mais à fundo sobre o tema do projeto</t>
  </si>
  <si>
    <t>Aprofundar sobre o tema do projeto e entregar o mesmo para os Colaboradores pra entenderem melhor sobre o assunto (e nós também)</t>
  </si>
  <si>
    <t>Importante</t>
  </si>
  <si>
    <t>G</t>
  </si>
  <si>
    <t>SP3</t>
  </si>
  <si>
    <t>SP1.3</t>
  </si>
  <si>
    <t>Criar o Product Backlog (com Gráfico de BurnDown)</t>
  </si>
  <si>
    <t>Criar o Product Backlog (que irá conter os requisitos, tamanho, classificação e etc), junto do Gráfico de Burndown pra medir nossa produtividade alinhada com o que se esperava</t>
  </si>
  <si>
    <t>MÉDIA</t>
  </si>
  <si>
    <t>SP1.4</t>
  </si>
  <si>
    <t>Fazer Prototipagem do Site Institucional (Home, Login, Cadastro)</t>
  </si>
  <si>
    <t>Criar um Protótipo do Site utilizando a ferramenta do Figma, sendo criado inicialmente o Site Institucional Home, Cadastro e Login</t>
  </si>
  <si>
    <t>SP1.5</t>
  </si>
  <si>
    <t>Criar Identidade Visual do Site</t>
  </si>
  <si>
    <t>Criar a Identidade Visual do Site, se baseando em Logos (utilizar GIMP, SmashingLogo, etc). Depois o nome (utilizar ferramentas adequadas) e nossas cores (Adobe color e etc).</t>
  </si>
  <si>
    <t>SP1.6</t>
  </si>
  <si>
    <t>Organizar a Plataforma  Planner com a Metodologia</t>
  </si>
  <si>
    <t>Utilizar a Plataforma Planner pra separar os requisitos e quem está cuidando de tal, utilizando a Metodologia Kanban pra separar os requisitos</t>
  </si>
  <si>
    <t>SP2.1</t>
  </si>
  <si>
    <t>Criar Página Home / Institucional (Local)</t>
  </si>
  <si>
    <t>Após prototipação, começar a criar à página Home em projeto Local pra futuramente implementar em Nuvem e no projeto total.</t>
  </si>
  <si>
    <t>SP2.2</t>
  </si>
  <si>
    <t>Criar Página Login / Cadastro (Local)</t>
  </si>
  <si>
    <t>Após prototipação, criar as páginas de Login e Cadastro de maneira local, com função de JS e semelhantes, visando já deixar as funções de login e cadastro semi prontas e integradas com Banco de Dados local</t>
  </si>
  <si>
    <t>SP2.3</t>
  </si>
  <si>
    <t>Criar Banco de Dados com Modelagem</t>
  </si>
  <si>
    <t>Criar a Modelagem de Dados (como as tabelas irão se relacionar e mostrar isso de maneira visual) e então, passar para a prototipação do Script e criar as mesmas.</t>
  </si>
  <si>
    <t>SP2.4</t>
  </si>
  <si>
    <t>Criar o Executável.jar</t>
  </si>
  <si>
    <t>Criar o programa em Jar que futuramente servirá como função estilo API.</t>
  </si>
  <si>
    <t>P</t>
  </si>
  <si>
    <t>SP2.5</t>
  </si>
  <si>
    <t>NÃO FEITO</t>
  </si>
  <si>
    <t>Preparar a Ferramenta de Suporte (Jira)</t>
  </si>
  <si>
    <t>Realizar a preparação na ferramenta de suporte Jira, onde iremos organizar chamados e Tickets de Suporte.</t>
  </si>
  <si>
    <t>SP2.6</t>
  </si>
  <si>
    <t>Programa em Python para EC2</t>
  </si>
  <si>
    <t>Criar o protótipo do programa em Python pro final, cujo servirá pra fazer a conexão entre a coleta de dados com o Banco de Dados na Nuvem</t>
  </si>
  <si>
    <t>SP3.2</t>
  </si>
  <si>
    <t>p</t>
  </si>
  <si>
    <t>Realizar a User Stories</t>
  </si>
  <si>
    <t>Realizar uma User Stories com os Colaboradores do Projeto, visando saber quais são suas expectativas e o que esperam como entrega do Produto.</t>
  </si>
  <si>
    <t>PP</t>
  </si>
  <si>
    <t>SP3.3</t>
  </si>
  <si>
    <t>Criar Diagrama de Negócios</t>
  </si>
  <si>
    <t>Criar um Diagrama de Negócios (no Canva de preferência), que será uma explicação visual e simples de como irá funcionar o projeto para mostrarmos para os Clientes entenderem.</t>
  </si>
  <si>
    <t>Desejável</t>
  </si>
  <si>
    <t>SP3.4</t>
  </si>
  <si>
    <t>Criar Diagrama de Solução Técnica</t>
  </si>
  <si>
    <t>Criar um Diagrama de Solução Técnica, que será utilizado normalmente pela equipe de criação do projeto e futuros colaboradores pra entenderem de uma maneira mais aprofundada sobre o projeto.</t>
  </si>
  <si>
    <t>Criar Página de Dashboard com KPIs</t>
  </si>
  <si>
    <t>Criar a página de Dashboard para cada Servidor individualmente, contendo KPIs como: Horário com maior uso de Hardware, Peças em Alerta, Etc.</t>
  </si>
  <si>
    <t>Criar Sistema de Relatórios de Suporte</t>
  </si>
  <si>
    <t>Permitir que os funcionários criem relatŕoios de suporte cujo irão detalhar o problema e analisar sobre: Última Manutenção, Problema Raíz, etc. Sendo um Sistema que aparecerá na Dashboard de cada servidor pra um cargo em específico (aquele responsável por monitorar os servidores e seus status)</t>
  </si>
  <si>
    <t>Criar Sistema de Notificações/Alertas</t>
  </si>
  <si>
    <t>Criar um Sistema de alertas que irá enviar um alerta  sobre quais so problemas visíveis os Servidores, tanto no próprio site quanto em email/ferramentas de comunicação, etc.</t>
  </si>
  <si>
    <t>Criar  Sistema de Categorização de Riscos</t>
  </si>
  <si>
    <t>Junto da página de Dashboard, cada servidor irá possuir um nível de risco, seja ele analisado pela preocupação em perder os dados (no caso, informações importantes ou alta escala, com servidor com Disco cheio) ou até, pelas suas irregularidades recentes.</t>
  </si>
  <si>
    <t>Criar um Sistema que gera Gráficos dos relatórios mais recentes</t>
  </si>
  <si>
    <t>Utilizando o CSV, Python e Java, criar uma ferramenta capaz de criar algum modelo (seja PDF, Excel, etc) que permita ver os dados recentes onde gere gráficos e relatórios do uso do Hardware dos servidores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</si>
</sst>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20"/>
      <color theme="1"/>
      <name val="Aptos Narrow"/>
      <family val="2"/>
      <scheme val="minor"/>
    </font>
    <font>
      <sz val="16"/>
      <color theme="1"/>
      <name val="Aptos Narrow"/>
      <family val="2"/>
      <scheme val="minor"/>
    </font>
    <font>
      <sz val="14"/>
      <color theme="1"/>
      <name val="Aptos Narrow"/>
      <family val="2"/>
      <scheme val="minor"/>
    </font>
    <font>
      <b/>
      <sz val="11"/>
      <color theme="0"/>
      <name val="Aptos Narrow"/>
      <family val="2"/>
      <scheme val="minor"/>
    </font>
    <font>
      <sz val="16"/>
      <color theme="0"/>
      <name val="Aptos Narrow"/>
      <family val="2"/>
      <scheme val="minor"/>
    </font>
    <font>
      <sz val="14"/>
      <color theme="0"/>
      <name val="Aptos Narrow"/>
      <family val="2"/>
      <scheme val="minor"/>
    </font>
    <font>
      <b/>
      <sz val="14"/>
      <color theme="0"/>
      <name val="Aptos Narrow"/>
      <family val="2"/>
      <scheme val="minor"/>
    </font>
    <font>
      <sz val="12"/>
      <color theme="1"/>
      <name val="Aptos Narrow"/>
      <family val="2"/>
      <scheme val="minor"/>
    </font>
    <font>
      <sz val="14"/>
      <color theme="1"/>
      <name val="Arial"/>
    </font>
    <font>
      <b/>
      <sz val="14"/>
      <color theme="1"/>
      <name val="Arial"/>
    </font>
    <font>
      <sz val="12"/>
      <color theme="1"/>
      <name val="Arial"/>
    </font>
  </fonts>
  <fills count="10">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0"/>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diagonal/>
    </border>
    <border>
      <left/>
      <right/>
      <top/>
      <bottom style="thin">
        <color rgb="FF000000"/>
      </bottom>
      <diagonal/>
    </border>
    <border>
      <left style="thin">
        <color rgb="FF000000"/>
      </left>
      <right style="thin">
        <color theme="0"/>
      </right>
      <top/>
      <bottom/>
      <diagonal/>
    </border>
    <border>
      <left style="thin">
        <color theme="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1"/>
      </left>
      <right style="thin">
        <color theme="0"/>
      </right>
      <top style="thin">
        <color theme="0"/>
      </top>
      <bottom style="thin">
        <color theme="0"/>
      </bottom>
      <diagonal/>
    </border>
    <border>
      <left style="thin">
        <color theme="1"/>
      </left>
      <right style="thin">
        <color theme="0"/>
      </right>
      <top/>
      <bottom/>
      <diagonal/>
    </border>
    <border>
      <left style="thin">
        <color theme="0"/>
      </left>
      <right style="thin">
        <color theme="1"/>
      </right>
      <top style="thin">
        <color theme="0"/>
      </top>
      <bottom style="thin">
        <color theme="0"/>
      </bottom>
      <diagonal/>
    </border>
    <border>
      <left style="thin">
        <color rgb="FF000000"/>
      </left>
      <right/>
      <top/>
      <bottom/>
      <diagonal/>
    </border>
    <border>
      <left/>
      <right style="thin">
        <color rgb="FF000000"/>
      </right>
      <top/>
      <bottom/>
      <diagonal/>
    </border>
    <border>
      <left style="thin">
        <color theme="0"/>
      </left>
      <right style="thin">
        <color theme="0"/>
      </right>
      <top/>
      <bottom style="thin">
        <color rgb="FF000000"/>
      </bottom>
      <diagonal/>
    </border>
    <border>
      <left style="thin">
        <color theme="1"/>
      </left>
      <right style="thin">
        <color theme="0"/>
      </right>
      <top/>
      <bottom style="thin">
        <color rgb="FF000000"/>
      </bottom>
      <diagonal/>
    </border>
    <border>
      <left style="thin">
        <color theme="1"/>
      </left>
      <right style="thin">
        <color theme="0"/>
      </right>
      <top/>
      <bottom style="thin">
        <color theme="0"/>
      </bottom>
      <diagonal/>
    </border>
    <border>
      <left style="thin">
        <color theme="0"/>
      </left>
      <right style="thin">
        <color theme="1"/>
      </right>
      <top/>
      <bottom style="thin">
        <color theme="0"/>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style="thin">
        <color theme="0"/>
      </right>
      <top style="thin">
        <color theme="0"/>
      </top>
      <bottom style="thin">
        <color theme="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theme="1"/>
      </left>
      <right style="thin">
        <color theme="0"/>
      </right>
      <top style="thin">
        <color theme="0"/>
      </top>
      <bottom/>
      <diagonal/>
    </border>
    <border>
      <left style="thin">
        <color theme="0"/>
      </left>
      <right style="thin">
        <color theme="1"/>
      </right>
      <top style="thin">
        <color theme="0"/>
      </top>
      <bottom/>
      <diagonal/>
    </border>
    <border>
      <left style="thin">
        <color theme="0"/>
      </left>
      <right style="thin">
        <color rgb="FF000000"/>
      </right>
      <top/>
      <bottom style="thin">
        <color rgb="FF000000"/>
      </bottom>
      <diagonal/>
    </border>
  </borders>
  <cellStyleXfs count="1">
    <xf numFmtId="0" fontId="0" fillId="0" borderId="0"/>
  </cellStyleXfs>
  <cellXfs count="83">
    <xf numFmtId="0" fontId="0" fillId="0" borderId="0" xfId="0"/>
    <xf numFmtId="0" fontId="0" fillId="0" borderId="0" xfId="0" applyAlignment="1">
      <alignment horizontal="center"/>
    </xf>
    <xf numFmtId="0" fontId="1"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6" fillId="7" borderId="2" xfId="0" applyFont="1" applyFill="1" applyBorder="1" applyAlignment="1">
      <alignment horizontal="center" vertical="center"/>
    </xf>
    <xf numFmtId="0" fontId="6" fillId="7" borderId="2" xfId="0" applyFont="1" applyFill="1" applyBorder="1" applyAlignment="1">
      <alignment horizontal="center" vertical="center" wrapText="1"/>
    </xf>
    <xf numFmtId="0" fontId="6" fillId="7" borderId="4" xfId="0" applyFont="1" applyFill="1" applyBorder="1" applyAlignment="1">
      <alignment horizontal="center" vertical="center"/>
    </xf>
    <xf numFmtId="0" fontId="6" fillId="7" borderId="5" xfId="0" applyFont="1" applyFill="1" applyBorder="1" applyAlignment="1">
      <alignment horizontal="center" vertical="center"/>
    </xf>
    <xf numFmtId="0" fontId="0" fillId="0" borderId="11" xfId="0" applyBorder="1"/>
    <xf numFmtId="0" fontId="1" fillId="5" borderId="10" xfId="0" applyFont="1" applyFill="1" applyBorder="1" applyAlignment="1">
      <alignment horizontal="center" vertical="center"/>
    </xf>
    <xf numFmtId="0" fontId="0" fillId="0" borderId="13" xfId="0" applyBorder="1"/>
    <xf numFmtId="0" fontId="1" fillId="4" borderId="12" xfId="0" applyFont="1" applyFill="1" applyBorder="1" applyAlignment="1">
      <alignment horizontal="center" vertical="center"/>
    </xf>
    <xf numFmtId="0" fontId="2" fillId="4" borderId="15" xfId="0" applyFont="1" applyFill="1" applyBorder="1" applyAlignment="1">
      <alignment horizontal="center" vertical="center" wrapText="1"/>
    </xf>
    <xf numFmtId="0" fontId="1" fillId="5" borderId="16" xfId="0" applyFont="1" applyFill="1" applyBorder="1" applyAlignment="1">
      <alignment horizontal="center" vertical="center"/>
    </xf>
    <xf numFmtId="0" fontId="1" fillId="4" borderId="10" xfId="0" applyFont="1" applyFill="1" applyBorder="1" applyAlignment="1">
      <alignment horizontal="center" vertical="center"/>
    </xf>
    <xf numFmtId="0" fontId="0" fillId="4" borderId="12" xfId="0" applyFill="1" applyBorder="1" applyAlignment="1">
      <alignment horizontal="center" vertical="center" wrapText="1"/>
    </xf>
    <xf numFmtId="0" fontId="1" fillId="4" borderId="0" xfId="0" applyFont="1" applyFill="1" applyAlignment="1">
      <alignment horizontal="center" vertical="center"/>
    </xf>
    <xf numFmtId="0" fontId="1" fillId="5" borderId="5" xfId="0" applyFont="1" applyFill="1" applyBorder="1" applyAlignment="1">
      <alignment horizontal="center" vertical="center"/>
    </xf>
    <xf numFmtId="0" fontId="1" fillId="4" borderId="5" xfId="0" applyFont="1" applyFill="1" applyBorder="1" applyAlignment="1">
      <alignment horizontal="center" vertical="center"/>
    </xf>
    <xf numFmtId="0" fontId="1" fillId="5" borderId="19" xfId="0" applyFont="1" applyFill="1" applyBorder="1" applyAlignment="1">
      <alignment horizontal="center" vertical="center"/>
    </xf>
    <xf numFmtId="0" fontId="2" fillId="9" borderId="0" xfId="0" applyFont="1" applyFill="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2" fillId="5" borderId="20"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5" borderId="21" xfId="0" applyFont="1" applyFill="1" applyBorder="1" applyAlignment="1">
      <alignment horizontal="center" vertical="center" wrapText="1"/>
    </xf>
    <xf numFmtId="0" fontId="1" fillId="5" borderId="9" xfId="0" applyFont="1" applyFill="1" applyBorder="1" applyAlignment="1">
      <alignment horizontal="center" vertical="center"/>
    </xf>
    <xf numFmtId="0" fontId="2" fillId="4" borderId="17" xfId="0" applyFont="1" applyFill="1" applyBorder="1" applyAlignment="1">
      <alignment horizontal="center" vertical="center" wrapText="1"/>
    </xf>
    <xf numFmtId="0" fontId="5" fillId="7" borderId="10" xfId="0" applyFont="1" applyFill="1" applyBorder="1" applyAlignment="1">
      <alignment horizontal="center" vertical="center"/>
    </xf>
    <xf numFmtId="0" fontId="3" fillId="4" borderId="10" xfId="0" applyFont="1" applyFill="1" applyBorder="1" applyAlignment="1">
      <alignment horizontal="center" vertical="center" wrapText="1"/>
    </xf>
    <xf numFmtId="0" fontId="0" fillId="4" borderId="10" xfId="0" applyFill="1" applyBorder="1" applyAlignment="1">
      <alignment horizontal="center" vertical="center" wrapText="1"/>
    </xf>
    <xf numFmtId="0" fontId="2" fillId="4" borderId="10"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0" fillId="5" borderId="10" xfId="0" applyFill="1" applyBorder="1" applyAlignment="1">
      <alignment horizontal="center" vertical="center" wrapText="1"/>
    </xf>
    <xf numFmtId="0" fontId="2" fillId="5" borderId="10" xfId="0" applyFont="1" applyFill="1" applyBorder="1" applyAlignment="1">
      <alignment horizontal="center" vertical="center" wrapText="1"/>
    </xf>
    <xf numFmtId="0" fontId="5" fillId="7" borderId="14" xfId="0" applyFont="1" applyFill="1" applyBorder="1" applyAlignment="1">
      <alignment horizontal="center" vertical="center"/>
    </xf>
    <xf numFmtId="0" fontId="5" fillId="7" borderId="16" xfId="0" applyFont="1" applyFill="1" applyBorder="1" applyAlignment="1">
      <alignment horizontal="center" vertical="center"/>
    </xf>
    <xf numFmtId="0" fontId="3" fillId="4" borderId="14" xfId="0" applyFont="1" applyFill="1" applyBorder="1" applyAlignment="1">
      <alignment horizontal="center" vertical="center"/>
    </xf>
    <xf numFmtId="0" fontId="1" fillId="4" borderId="16"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26" xfId="0" applyFont="1" applyFill="1" applyBorder="1" applyAlignment="1">
      <alignment horizontal="center" vertical="center"/>
    </xf>
    <xf numFmtId="0" fontId="3" fillId="5" borderId="27" xfId="0" applyFont="1" applyFill="1" applyBorder="1" applyAlignment="1">
      <alignment horizontal="center" vertical="center" wrapText="1"/>
    </xf>
    <xf numFmtId="0" fontId="0" fillId="5" borderId="27" xfId="0" applyFill="1" applyBorder="1" applyAlignment="1">
      <alignment horizontal="center" vertical="center" wrapText="1"/>
    </xf>
    <xf numFmtId="0" fontId="2" fillId="5" borderId="27" xfId="0" applyFont="1" applyFill="1" applyBorder="1" applyAlignment="1">
      <alignment horizontal="center" vertical="center" wrapText="1"/>
    </xf>
    <xf numFmtId="0" fontId="1" fillId="5" borderId="27" xfId="0" applyFont="1" applyFill="1" applyBorder="1" applyAlignment="1">
      <alignment horizontal="center" vertical="center"/>
    </xf>
    <xf numFmtId="0" fontId="1" fillId="5" borderId="28" xfId="0" applyFont="1" applyFill="1" applyBorder="1" applyAlignment="1">
      <alignment horizontal="center" vertical="center"/>
    </xf>
    <xf numFmtId="0" fontId="3" fillId="5" borderId="0" xfId="0" applyFont="1" applyFill="1" applyAlignment="1">
      <alignment horizontal="center" vertical="center" wrapText="1"/>
    </xf>
    <xf numFmtId="0" fontId="0" fillId="5" borderId="0" xfId="0" applyFill="1" applyAlignment="1">
      <alignment horizontal="center" vertical="center" wrapText="1"/>
    </xf>
    <xf numFmtId="0" fontId="2" fillId="5" borderId="0" xfId="0" applyFont="1" applyFill="1" applyAlignment="1">
      <alignment horizontal="center" vertical="center" wrapText="1"/>
    </xf>
    <xf numFmtId="0" fontId="1" fillId="5" borderId="0" xfId="0" applyFont="1" applyFill="1" applyAlignment="1">
      <alignment horizontal="center" vertical="center"/>
    </xf>
    <xf numFmtId="0" fontId="3" fillId="4" borderId="29" xfId="0" applyFont="1" applyFill="1" applyBorder="1" applyAlignment="1">
      <alignment horizontal="center" vertical="center"/>
    </xf>
    <xf numFmtId="0" fontId="3" fillId="4" borderId="12"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1" fillId="4" borderId="30" xfId="0" applyFont="1" applyFill="1" applyBorder="1" applyAlignment="1">
      <alignment horizontal="center" vertical="center"/>
    </xf>
    <xf numFmtId="0" fontId="3" fillId="4" borderId="21" xfId="0" applyFont="1" applyFill="1" applyBorder="1" applyAlignment="1">
      <alignment horizontal="center" vertical="center"/>
    </xf>
    <xf numFmtId="0" fontId="3" fillId="4" borderId="9" xfId="0" applyFont="1" applyFill="1" applyBorder="1" applyAlignment="1">
      <alignment horizontal="center" vertical="center" wrapText="1"/>
    </xf>
    <xf numFmtId="0" fontId="0" fillId="4" borderId="9" xfId="0" applyFill="1" applyBorder="1" applyAlignment="1">
      <alignment horizontal="center" vertical="center" wrapText="1"/>
    </xf>
    <xf numFmtId="0" fontId="2" fillId="4" borderId="9" xfId="0" applyFont="1" applyFill="1" applyBorder="1" applyAlignment="1">
      <alignment horizontal="center" vertical="center" wrapText="1"/>
    </xf>
    <xf numFmtId="0" fontId="1" fillId="4" borderId="9" xfId="0" applyFont="1" applyFill="1" applyBorder="1" applyAlignment="1">
      <alignment horizontal="center" vertical="center"/>
    </xf>
    <xf numFmtId="0" fontId="1" fillId="4" borderId="22" xfId="0" applyFont="1" applyFill="1" applyBorder="1" applyAlignment="1">
      <alignment horizontal="center" vertical="center"/>
    </xf>
    <xf numFmtId="0" fontId="3" fillId="5" borderId="17" xfId="0" applyFont="1" applyFill="1" applyBorder="1" applyAlignment="1">
      <alignment horizontal="center" vertical="center"/>
    </xf>
    <xf numFmtId="0" fontId="1" fillId="5" borderId="18" xfId="0" applyFont="1" applyFill="1" applyBorder="1" applyAlignment="1">
      <alignment horizontal="center" vertical="center"/>
    </xf>
    <xf numFmtId="0" fontId="8" fillId="4" borderId="10"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2"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 fillId="5" borderId="10" xfId="0" applyFont="1" applyFill="1" applyBorder="1" applyAlignment="1">
      <alignment horizontal="center" vertical="center" wrapText="1"/>
    </xf>
    <xf numFmtId="0" fontId="1" fillId="5" borderId="31"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4" fillId="8" borderId="3" xfId="0" applyFont="1" applyFill="1" applyBorder="1" applyAlignment="1">
      <alignment horizontal="center" vertical="center"/>
    </xf>
    <xf numFmtId="0" fontId="5" fillId="8" borderId="23" xfId="0" applyFont="1" applyFill="1" applyBorder="1" applyAlignment="1">
      <alignment horizontal="center"/>
    </xf>
    <xf numFmtId="0" fontId="5" fillId="8" borderId="24" xfId="0" applyFont="1" applyFill="1" applyBorder="1" applyAlignment="1">
      <alignment horizontal="center"/>
    </xf>
    <xf numFmtId="0" fontId="5" fillId="8" borderId="25" xfId="0"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Planilha1!$U$3</c:f>
              <c:strCache>
                <c:ptCount val="1"/>
              </c:strCache>
            </c:strRef>
          </c:tx>
          <c:spPr>
            <a:ln w="28575" cap="rnd">
              <a:solidFill>
                <a:srgbClr val="637CEF"/>
              </a:solidFill>
              <a:round/>
            </a:ln>
            <a:effectLst/>
          </c:spPr>
          <c:marker>
            <c:symbol val="none"/>
          </c:marker>
          <c:cat>
            <c:strRef>
              <c:f>Planilha1!$T$4:$T$16</c:f>
              <c:strCache>
                <c:ptCount val="13"/>
                <c:pt idx="0">
                  <c:v>SPRINTS</c:v>
                </c:pt>
                <c:pt idx="1">
                  <c:v>SP1.1</c:v>
                </c:pt>
                <c:pt idx="2">
                  <c:v>SP1.2</c:v>
                </c:pt>
                <c:pt idx="3">
                  <c:v>SP1.3</c:v>
                </c:pt>
                <c:pt idx="4">
                  <c:v>SP1.4</c:v>
                </c:pt>
                <c:pt idx="5">
                  <c:v>SP1.5</c:v>
                </c:pt>
                <c:pt idx="6">
                  <c:v>SP1.6</c:v>
                </c:pt>
                <c:pt idx="7">
                  <c:v>SP2.1</c:v>
                </c:pt>
                <c:pt idx="8">
                  <c:v>SP2.2</c:v>
                </c:pt>
                <c:pt idx="9">
                  <c:v>SP2.3</c:v>
                </c:pt>
                <c:pt idx="10">
                  <c:v>SP2.4</c:v>
                </c:pt>
                <c:pt idx="11">
                  <c:v>SP2.5</c:v>
                </c:pt>
                <c:pt idx="12">
                  <c:v>SP2.6</c:v>
                </c:pt>
              </c:strCache>
            </c:strRef>
          </c:cat>
          <c:val>
            <c:numRef>
              <c:f>Planilha1!$U$4:$U$16</c:f>
              <c:numCache>
                <c:formatCode>General</c:formatCode>
                <c:ptCount val="13"/>
                <c:pt idx="0">
                  <c:v>0</c:v>
                </c:pt>
                <c:pt idx="1">
                  <c:v>92</c:v>
                </c:pt>
                <c:pt idx="2">
                  <c:v>74</c:v>
                </c:pt>
                <c:pt idx="3">
                  <c:v>5</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0-DEF7-4F70-9EA1-11E854A72627}"/>
            </c:ext>
          </c:extLst>
        </c:ser>
        <c:ser>
          <c:idx val="1"/>
          <c:order val="1"/>
          <c:tx>
            <c:strRef>
              <c:f>Planilha1!$V$3</c:f>
              <c:strCache>
                <c:ptCount val="1"/>
              </c:strCache>
            </c:strRef>
          </c:tx>
          <c:spPr>
            <a:ln w="28575" cap="rnd">
              <a:solidFill>
                <a:srgbClr val="E3008C"/>
              </a:solidFill>
              <a:round/>
            </a:ln>
            <a:effectLst/>
          </c:spPr>
          <c:marker>
            <c:symbol val="none"/>
          </c:marker>
          <c:cat>
            <c:strRef>
              <c:f>Planilha1!$T$4:$T$16</c:f>
              <c:strCache>
                <c:ptCount val="13"/>
                <c:pt idx="0">
                  <c:v>SPRINTS</c:v>
                </c:pt>
                <c:pt idx="1">
                  <c:v>SP1.1</c:v>
                </c:pt>
                <c:pt idx="2">
                  <c:v>SP1.2</c:v>
                </c:pt>
                <c:pt idx="3">
                  <c:v>SP1.3</c:v>
                </c:pt>
                <c:pt idx="4">
                  <c:v>SP1.4</c:v>
                </c:pt>
                <c:pt idx="5">
                  <c:v>SP1.5</c:v>
                </c:pt>
                <c:pt idx="6">
                  <c:v>SP1.6</c:v>
                </c:pt>
                <c:pt idx="7">
                  <c:v>SP2.1</c:v>
                </c:pt>
                <c:pt idx="8">
                  <c:v>SP2.2</c:v>
                </c:pt>
                <c:pt idx="9">
                  <c:v>SP2.3</c:v>
                </c:pt>
                <c:pt idx="10">
                  <c:v>SP2.4</c:v>
                </c:pt>
                <c:pt idx="11">
                  <c:v>SP2.5</c:v>
                </c:pt>
                <c:pt idx="12">
                  <c:v>SP2.6</c:v>
                </c:pt>
              </c:strCache>
            </c:strRef>
          </c:cat>
          <c:val>
            <c:numRef>
              <c:f>Planilha1!$W$4:$W$16</c:f>
              <c:numCache>
                <c:formatCode>General</c:formatCode>
                <c:ptCount val="13"/>
                <c:pt idx="0">
                  <c:v>0</c:v>
                </c:pt>
                <c:pt idx="1">
                  <c:v>92</c:v>
                </c:pt>
                <c:pt idx="2">
                  <c:v>61</c:v>
                </c:pt>
                <c:pt idx="3">
                  <c:v>5</c:v>
                </c:pt>
                <c:pt idx="4">
                  <c:v>0</c:v>
                </c:pt>
                <c:pt idx="5">
                  <c:v>0</c:v>
                </c:pt>
                <c:pt idx="6">
                  <c:v>0</c:v>
                </c:pt>
                <c:pt idx="7">
                  <c:v>0</c:v>
                </c:pt>
                <c:pt idx="8">
                  <c:v>0</c:v>
                </c:pt>
                <c:pt idx="9">
                  <c:v>0</c:v>
                </c:pt>
                <c:pt idx="10">
                  <c:v>0</c:v>
                </c:pt>
                <c:pt idx="11">
                  <c:v>0</c:v>
                </c:pt>
                <c:pt idx="12">
                  <c:v>0</c:v>
                </c:pt>
              </c:numCache>
            </c:numRef>
          </c:val>
          <c:smooth val="0"/>
          <c:extLst>
            <c:ext xmlns:c16="http://schemas.microsoft.com/office/drawing/2014/chart" uri="{C3380CC4-5D6E-409C-BE32-E72D297353CC}">
              <c16:uniqueId val="{00000002-DEF7-4F70-9EA1-11E854A72627}"/>
            </c:ext>
          </c:extLst>
        </c:ser>
        <c:dLbls>
          <c:showLegendKey val="0"/>
          <c:showVal val="0"/>
          <c:showCatName val="0"/>
          <c:showSerName val="0"/>
          <c:showPercent val="0"/>
          <c:showBubbleSize val="0"/>
        </c:dLbls>
        <c:smooth val="0"/>
        <c:axId val="898429959"/>
        <c:axId val="898432519"/>
      </c:lineChart>
      <c:catAx>
        <c:axId val="898429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32519"/>
        <c:crosses val="autoZero"/>
        <c:auto val="1"/>
        <c:lblAlgn val="ctr"/>
        <c:lblOffset val="100"/>
        <c:noMultiLvlLbl val="0"/>
      </c:catAx>
      <c:valAx>
        <c:axId val="898432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29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spc="0" baseline="0">
                <a:solidFill>
                  <a:sysClr val="windowText" lastClr="000000">
                    <a:lumMod val="65000"/>
                    <a:lumOff val="35000"/>
                  </a:sysClr>
                </a:solidFill>
                <a:latin typeface="+mn-lt"/>
                <a:ea typeface="+mn-ea"/>
                <a:cs typeface="+mn-cs"/>
              </a:defRPr>
            </a:pPr>
            <a:r>
              <a:rPr lang="en-US"/>
              <a:t>GRÁFICO DE BURNDOWN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3200" b="1" i="0" u="none" strike="noStrike" kern="1200" spc="0" baseline="0">
              <a:solidFill>
                <a:sysClr val="windowText" lastClr="000000">
                  <a:lumMod val="65000"/>
                  <a:lumOff val="35000"/>
                </a:sysClr>
              </a:solidFill>
              <a:latin typeface="+mn-lt"/>
              <a:ea typeface="+mn-ea"/>
              <a:cs typeface="+mn-cs"/>
            </a:defRPr>
          </a:pPr>
          <a:endParaRPr lang="pt-BR"/>
        </a:p>
      </c:txPr>
    </c:title>
    <c:autoTitleDeleted val="0"/>
    <c:plotArea>
      <c:layout/>
      <c:lineChart>
        <c:grouping val="standard"/>
        <c:varyColors val="0"/>
        <c:ser>
          <c:idx val="1"/>
          <c:order val="0"/>
          <c:tx>
            <c:strRef>
              <c:f>Planilha1!$V$4</c:f>
              <c:strCache>
                <c:ptCount val="1"/>
                <c:pt idx="0">
                  <c:v>PLANEJADO + PENDENTE</c:v>
                </c:pt>
              </c:strCache>
            </c:strRef>
          </c:tx>
          <c:spPr>
            <a:ln w="28575" cap="rnd">
              <a:solidFill>
                <a:schemeClr val="accent2"/>
              </a:solidFill>
              <a:round/>
            </a:ln>
            <a:effectLst/>
          </c:spPr>
          <c:marker>
            <c:symbol val="none"/>
          </c:marker>
          <c:val>
            <c:numRef>
              <c:f>Planilha1!V5:V22</c:f>
              <c:numCache>
                <c:formatCode>General</c:formatCode>
                <c:ptCount val="18"/>
                <c:pt idx="0">
                  <c:v>92</c:v>
                </c:pt>
                <c:pt idx="1">
                  <c:v>74</c:v>
                </c:pt>
                <c:pt idx="2">
                  <c:v>18</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0-996C-46E1-8BAF-B6358EDAB5B0}"/>
            </c:ext>
          </c:extLst>
        </c:ser>
        <c:ser>
          <c:idx val="2"/>
          <c:order val="1"/>
          <c:tx>
            <c:strRef>
              <c:f>Planilha1!$W$4</c:f>
              <c:strCache>
                <c:ptCount val="1"/>
                <c:pt idx="0">
                  <c:v>ENTREGUE</c:v>
                </c:pt>
              </c:strCache>
            </c:strRef>
          </c:tx>
          <c:spPr>
            <a:ln w="28575" cap="rnd">
              <a:solidFill>
                <a:schemeClr val="accent3"/>
              </a:solidFill>
              <a:round/>
            </a:ln>
            <a:effectLst/>
          </c:spPr>
          <c:marker>
            <c:symbol val="none"/>
          </c:marker>
          <c:val>
            <c:numRef>
              <c:f>Planilha1!W5:W22</c:f>
              <c:numCache>
                <c:formatCode>General</c:formatCode>
                <c:ptCount val="18"/>
                <c:pt idx="0">
                  <c:v>92</c:v>
                </c:pt>
                <c:pt idx="1">
                  <c:v>61</c:v>
                </c:pt>
                <c:pt idx="2">
                  <c:v>5</c:v>
                </c:pt>
                <c:pt idx="3">
                  <c:v>0</c:v>
                </c:pt>
                <c:pt idx="4">
                  <c:v>0</c:v>
                </c:pt>
                <c:pt idx="5">
                  <c:v>0</c:v>
                </c:pt>
                <c:pt idx="6">
                  <c:v>0</c:v>
                </c:pt>
                <c:pt idx="7">
                  <c:v>0</c:v>
                </c:pt>
                <c:pt idx="8">
                  <c:v>0</c:v>
                </c:pt>
                <c:pt idx="9">
                  <c:v>0</c:v>
                </c:pt>
                <c:pt idx="10">
                  <c:v>0</c:v>
                </c:pt>
                <c:pt idx="11">
                  <c:v>0</c:v>
                </c:pt>
                <c:pt idx="12">
                  <c:v>0</c:v>
                </c:pt>
                <c:pt idx="13">
                  <c:v>0</c:v>
                </c:pt>
                <c:pt idx="14">
                  <c:v>0</c:v>
                </c:pt>
              </c:numCache>
            </c:numRef>
          </c:val>
          <c:smooth val="0"/>
          <c:extLst>
            <c:ext xmlns:c16="http://schemas.microsoft.com/office/drawing/2014/chart" uri="{C3380CC4-5D6E-409C-BE32-E72D297353CC}">
              <c16:uniqueId val="{00000001-996C-46E1-8BAF-B6358EDAB5B0}"/>
            </c:ext>
          </c:extLst>
        </c:ser>
        <c:dLbls>
          <c:showLegendKey val="0"/>
          <c:showVal val="0"/>
          <c:showCatName val="0"/>
          <c:showSerName val="0"/>
          <c:showPercent val="0"/>
          <c:showBubbleSize val="0"/>
        </c:dLbls>
        <c:smooth val="0"/>
        <c:axId val="1298107392"/>
        <c:axId val="1298107872"/>
      </c:lineChart>
      <c:catAx>
        <c:axId val="129810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98107872"/>
        <c:crosses val="autoZero"/>
        <c:auto val="1"/>
        <c:lblAlgn val="ctr"/>
        <c:lblOffset val="100"/>
        <c:noMultiLvlLbl val="0"/>
      </c:catAx>
      <c:valAx>
        <c:axId val="129810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29810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714375</xdr:colOff>
      <xdr:row>2</xdr:row>
      <xdr:rowOff>238125</xdr:rowOff>
    </xdr:from>
    <xdr:to>
      <xdr:col>8</xdr:col>
      <xdr:colOff>714375</xdr:colOff>
      <xdr:row>2</xdr:row>
      <xdr:rowOff>238125</xdr:rowOff>
    </xdr:to>
    <xdr:graphicFrame macro="">
      <xdr:nvGraphicFramePr>
        <xdr:cNvPr id="23" name="Gráfico 10">
          <a:extLst>
            <a:ext uri="{FF2B5EF4-FFF2-40B4-BE49-F238E27FC236}">
              <a16:creationId xmlns:a16="http://schemas.microsoft.com/office/drawing/2014/main" id="{58F563DE-DD7E-2C85-F2FB-A9AB22BA28CF}"/>
            </a:ext>
            <a:ext uri="{147F2762-F138-4A5C-976F-8EAC2B608ADB}">
              <a16:predDERef xmlns:a16="http://schemas.microsoft.com/office/drawing/2014/main" pred="{B53D8D21-3705-7AF1-B88F-DF42646D6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152400</xdr:colOff>
      <xdr:row>2</xdr:row>
      <xdr:rowOff>142875</xdr:rowOff>
    </xdr:from>
    <xdr:to>
      <xdr:col>46</xdr:col>
      <xdr:colOff>50346</xdr:colOff>
      <xdr:row>16</xdr:row>
      <xdr:rowOff>93889</xdr:rowOff>
    </xdr:to>
    <xdr:graphicFrame macro="">
      <xdr:nvGraphicFramePr>
        <xdr:cNvPr id="2" name="Gráfico 1">
          <a:extLst>
            <a:ext uri="{FF2B5EF4-FFF2-40B4-BE49-F238E27FC236}">
              <a16:creationId xmlns:a16="http://schemas.microsoft.com/office/drawing/2014/main" id="{6596AF2E-D90A-4ABB-B5DC-F64032BB5CBC}"/>
            </a:ext>
            <a:ext uri="{147F2762-F138-4A5C-976F-8EAC2B608ADB}">
              <a16:predDERef xmlns:a16="http://schemas.microsoft.com/office/drawing/2014/main" pred="{58F563DE-DD7E-2C85-F2FB-A9AB22BA2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1:AU75"/>
  <sheetViews>
    <sheetView tabSelected="1" topLeftCell="N1" zoomScale="25" zoomScaleNormal="25" workbookViewId="0">
      <selection activeCell="X6" sqref="X6"/>
    </sheetView>
  </sheetViews>
  <sheetFormatPr defaultRowHeight="14.45"/>
  <cols>
    <col min="8" max="8" width="12.85546875" bestFit="1" customWidth="1"/>
    <col min="9" max="9" width="57.28515625" bestFit="1" customWidth="1"/>
    <col min="10" max="10" width="40.7109375" customWidth="1"/>
    <col min="11" max="11" width="36.5703125" bestFit="1" customWidth="1"/>
    <col min="12" max="12" width="12.7109375" customWidth="1"/>
    <col min="13" max="13" width="10.28515625" customWidth="1"/>
    <col min="14" max="14" width="14.42578125" customWidth="1"/>
    <col min="15" max="15" width="10.85546875" customWidth="1"/>
    <col min="16" max="16" width="9.42578125" customWidth="1"/>
    <col min="17" max="17" width="10.85546875" customWidth="1"/>
    <col min="19" max="19" width="11.42578125" customWidth="1"/>
    <col min="20" max="20" width="15" customWidth="1"/>
    <col min="21" max="21" width="13.42578125" customWidth="1"/>
    <col min="22" max="22" width="16.7109375" customWidth="1"/>
    <col min="23" max="24" width="13.140625" bestFit="1" customWidth="1"/>
  </cols>
  <sheetData>
    <row r="1" spans="8:47" s="1" customFormat="1" ht="24.75" customHeight="1"/>
    <row r="2" spans="8:47" ht="33.75" customHeight="1"/>
    <row r="3" spans="8:47" ht="21">
      <c r="H3" s="80" t="s">
        <v>0</v>
      </c>
      <c r="I3" s="81"/>
      <c r="J3" s="81"/>
      <c r="K3" s="81"/>
      <c r="L3" s="81"/>
      <c r="M3" s="81"/>
      <c r="N3" s="81"/>
      <c r="O3" s="82"/>
      <c r="P3" s="1"/>
      <c r="Q3" s="79" t="s">
        <v>1</v>
      </c>
      <c r="R3" s="79"/>
      <c r="S3" s="1"/>
      <c r="T3" s="76" t="s">
        <v>2</v>
      </c>
      <c r="U3" s="77"/>
      <c r="V3" s="77"/>
      <c r="W3" s="77"/>
      <c r="X3" s="78"/>
      <c r="Y3" s="1"/>
      <c r="Z3" s="1"/>
      <c r="AA3" s="1"/>
      <c r="AB3" s="1"/>
      <c r="AC3" s="1"/>
      <c r="AD3" s="1"/>
      <c r="AE3" s="1"/>
      <c r="AF3" s="1"/>
      <c r="AG3" s="1"/>
      <c r="AH3" s="1"/>
      <c r="AI3" s="1"/>
      <c r="AJ3" s="1"/>
      <c r="AK3" s="1"/>
      <c r="AL3" s="1"/>
      <c r="AM3" s="1"/>
      <c r="AN3" s="1"/>
      <c r="AO3" s="1"/>
      <c r="AP3" s="1"/>
      <c r="AQ3" s="1"/>
      <c r="AR3" s="1"/>
      <c r="AS3" s="1"/>
      <c r="AT3" s="1"/>
      <c r="AU3" s="1"/>
    </row>
    <row r="4" spans="8:47" ht="43.15" customHeight="1">
      <c r="H4" s="36" t="s">
        <v>3</v>
      </c>
      <c r="I4" s="29" t="s">
        <v>4</v>
      </c>
      <c r="J4" s="29" t="s">
        <v>5</v>
      </c>
      <c r="K4" s="29" t="s">
        <v>6</v>
      </c>
      <c r="L4" s="29" t="s">
        <v>7</v>
      </c>
      <c r="M4" s="29" t="s">
        <v>8</v>
      </c>
      <c r="N4" s="29" t="s">
        <v>9</v>
      </c>
      <c r="O4" s="37" t="s">
        <v>10</v>
      </c>
      <c r="Q4" s="66" t="s">
        <v>11</v>
      </c>
      <c r="R4" s="70">
        <f>SUM(R5:R7)</f>
        <v>252</v>
      </c>
      <c r="T4" s="6" t="s">
        <v>12</v>
      </c>
      <c r="U4" s="5" t="s">
        <v>13</v>
      </c>
      <c r="V4" s="5" t="s">
        <v>14</v>
      </c>
      <c r="W4" s="4" t="s">
        <v>15</v>
      </c>
      <c r="X4" s="7" t="s">
        <v>16</v>
      </c>
      <c r="Y4">
        <v>92</v>
      </c>
    </row>
    <row r="5" spans="8:47" ht="46.5">
      <c r="H5" s="38" t="s">
        <v>17</v>
      </c>
      <c r="I5" s="30" t="s">
        <v>18</v>
      </c>
      <c r="J5" s="63" t="s">
        <v>19</v>
      </c>
      <c r="K5" s="32" t="s">
        <v>20</v>
      </c>
      <c r="L5" s="14" t="s">
        <v>21</v>
      </c>
      <c r="M5" s="65">
        <f>IF(L5="GG", 21, IF(L5="G", 13, IF(L5="M", 8, IF(L5="P", 5, IF(L5="PP", 3, 0)))))</f>
        <v>8</v>
      </c>
      <c r="N5" s="14">
        <v>2</v>
      </c>
      <c r="O5" s="39" t="s">
        <v>22</v>
      </c>
      <c r="Q5" s="67" t="s">
        <v>23</v>
      </c>
      <c r="R5" s="71">
        <f>SUMIF(O5:O42, "SP1*", M5:M42)</f>
        <v>171</v>
      </c>
      <c r="T5" s="24" t="s">
        <v>24</v>
      </c>
      <c r="U5" s="3">
        <f>SUMIF(O5:O20,T5,M5:M20)</f>
        <v>92</v>
      </c>
      <c r="V5" s="3">
        <v>92</v>
      </c>
      <c r="W5" s="3">
        <f>SUMIFS(M5:M20,O5:O20,T5,H5:H20,"FEITO")</f>
        <v>92</v>
      </c>
      <c r="X5" s="17">
        <v>0</v>
      </c>
    </row>
    <row r="6" spans="8:47" ht="61.5">
      <c r="H6" s="40" t="s">
        <v>17</v>
      </c>
      <c r="I6" s="33" t="s">
        <v>25</v>
      </c>
      <c r="J6" s="64" t="s">
        <v>26</v>
      </c>
      <c r="K6" s="35" t="s">
        <v>20</v>
      </c>
      <c r="L6" s="9" t="s">
        <v>27</v>
      </c>
      <c r="M6" s="74">
        <f t="shared" ref="M6:M20" si="0">IF(L6="GG", 21, IF(L6="G", 13, IF(L6="M", 8, IF(L6="P", 5, IF(L6="PP", 3, 0)))))</f>
        <v>21</v>
      </c>
      <c r="N6" s="9">
        <v>1</v>
      </c>
      <c r="O6" s="13" t="s">
        <v>24</v>
      </c>
      <c r="Q6" s="68" t="s">
        <v>28</v>
      </c>
      <c r="R6" s="72">
        <f>SUMIF(O6:O43, "SP2*", M6:M43)</f>
        <v>81</v>
      </c>
      <c r="T6" s="25" t="s">
        <v>22</v>
      </c>
      <c r="U6" s="2">
        <f>SUMIF(O5:O20,T6,M5:M20)</f>
        <v>74</v>
      </c>
      <c r="V6" s="2">
        <f>SUM(U6,X5)</f>
        <v>74</v>
      </c>
      <c r="W6" s="2">
        <f>SUMIFS(M5:M20,O5:O20,T6,H5:H20,"FEITO")</f>
        <v>61</v>
      </c>
      <c r="X6" s="18">
        <f>U6-W6</f>
        <v>13</v>
      </c>
    </row>
    <row r="7" spans="8:47" ht="61.5">
      <c r="H7" s="38" t="s">
        <v>17</v>
      </c>
      <c r="I7" s="30" t="s">
        <v>29</v>
      </c>
      <c r="J7" s="63" t="s">
        <v>30</v>
      </c>
      <c r="K7" s="32" t="s">
        <v>31</v>
      </c>
      <c r="L7" s="14" t="s">
        <v>32</v>
      </c>
      <c r="M7" s="65">
        <f t="shared" si="0"/>
        <v>13</v>
      </c>
      <c r="N7" s="14">
        <v>3</v>
      </c>
      <c r="O7" s="39" t="s">
        <v>24</v>
      </c>
      <c r="Q7" s="67" t="s">
        <v>33</v>
      </c>
      <c r="R7" s="71">
        <f>SUMIF(O7:O48, "SP3*", M7:M48)</f>
        <v>0</v>
      </c>
      <c r="T7" s="24" t="s">
        <v>34</v>
      </c>
      <c r="U7" s="3">
        <f>SUMIF(O5:O20,T7,M5:M20)</f>
        <v>5</v>
      </c>
      <c r="V7" s="3">
        <f>SUM(U7,X6)</f>
        <v>18</v>
      </c>
      <c r="W7" s="3">
        <f>SUMIFS(M5:M20,O5:O20,T7,H5:H20,"FEITO")</f>
        <v>5</v>
      </c>
      <c r="X7" s="17">
        <f>U7-W7</f>
        <v>0</v>
      </c>
    </row>
    <row r="8" spans="8:47" ht="77.25">
      <c r="H8" s="40" t="s">
        <v>17</v>
      </c>
      <c r="I8" s="33" t="s">
        <v>35</v>
      </c>
      <c r="J8" s="64" t="s">
        <v>36</v>
      </c>
      <c r="K8" s="35" t="s">
        <v>20</v>
      </c>
      <c r="L8" s="9" t="s">
        <v>27</v>
      </c>
      <c r="M8" s="74">
        <f t="shared" si="0"/>
        <v>21</v>
      </c>
      <c r="N8" s="9">
        <v>1</v>
      </c>
      <c r="O8" s="13" t="s">
        <v>24</v>
      </c>
      <c r="Q8" s="69" t="s">
        <v>37</v>
      </c>
      <c r="R8" s="73">
        <f>AVERAGE(R5:R7)</f>
        <v>84</v>
      </c>
      <c r="T8" s="25" t="s">
        <v>38</v>
      </c>
      <c r="U8" s="2">
        <f>SUMIF(O5:O20,T8,M5:M20)</f>
        <v>0</v>
      </c>
      <c r="V8" s="2">
        <f t="shared" ref="V8:V19" si="1">SUM(U8,X7)</f>
        <v>0</v>
      </c>
      <c r="W8" s="2">
        <f>SUMIFS(M5:M20,O5:O20,T8,H5:H20,"FEITO")</f>
        <v>0</v>
      </c>
      <c r="X8" s="18">
        <f t="shared" ref="X8:X19" si="2">U8-W8</f>
        <v>0</v>
      </c>
    </row>
    <row r="9" spans="8:47" ht="61.5">
      <c r="H9" s="38" t="s">
        <v>17</v>
      </c>
      <c r="I9" s="30" t="s">
        <v>39</v>
      </c>
      <c r="J9" s="63" t="s">
        <v>40</v>
      </c>
      <c r="K9" s="32" t="s">
        <v>31</v>
      </c>
      <c r="L9" s="14" t="s">
        <v>32</v>
      </c>
      <c r="M9" s="65">
        <f t="shared" si="0"/>
        <v>13</v>
      </c>
      <c r="N9" s="14">
        <v>2</v>
      </c>
      <c r="O9" s="39" t="s">
        <v>24</v>
      </c>
      <c r="T9" s="24" t="s">
        <v>41</v>
      </c>
      <c r="U9" s="3">
        <f>SUMIF(O5:O20,T9,M5:M20)</f>
        <v>0</v>
      </c>
      <c r="V9" s="3">
        <f t="shared" si="1"/>
        <v>0</v>
      </c>
      <c r="W9" s="3">
        <f>SUMIFS(M5:M20,O5:O20,T9,H5:H20,"FEITO")</f>
        <v>0</v>
      </c>
      <c r="X9" s="17">
        <f t="shared" si="2"/>
        <v>0</v>
      </c>
    </row>
    <row r="10" spans="8:47" ht="77.25">
      <c r="H10" s="40" t="s">
        <v>17</v>
      </c>
      <c r="I10" s="33" t="s">
        <v>42</v>
      </c>
      <c r="J10" s="64" t="s">
        <v>43</v>
      </c>
      <c r="K10" s="35" t="s">
        <v>20</v>
      </c>
      <c r="L10" s="9" t="s">
        <v>21</v>
      </c>
      <c r="M10" s="74">
        <f t="shared" si="0"/>
        <v>8</v>
      </c>
      <c r="N10" s="9">
        <v>1</v>
      </c>
      <c r="O10" s="13" t="s">
        <v>24</v>
      </c>
      <c r="T10" s="25" t="s">
        <v>44</v>
      </c>
      <c r="U10" s="2">
        <f>SUMIF(O5:O20,T10,M5:M20)</f>
        <v>0</v>
      </c>
      <c r="V10" s="2">
        <f t="shared" si="1"/>
        <v>0</v>
      </c>
      <c r="W10" s="2">
        <f>SUMIFS(M5:M20,O5:O20,T10,H5:H20,"FEITO")</f>
        <v>0</v>
      </c>
      <c r="X10" s="18">
        <f t="shared" si="2"/>
        <v>0</v>
      </c>
    </row>
    <row r="11" spans="8:47" ht="61.5">
      <c r="H11" s="38" t="s">
        <v>17</v>
      </c>
      <c r="I11" s="30" t="s">
        <v>45</v>
      </c>
      <c r="J11" s="63" t="s">
        <v>46</v>
      </c>
      <c r="K11" s="32" t="s">
        <v>31</v>
      </c>
      <c r="L11" s="14" t="s">
        <v>21</v>
      </c>
      <c r="M11" s="65">
        <f t="shared" si="0"/>
        <v>8</v>
      </c>
      <c r="N11" s="14">
        <v>3</v>
      </c>
      <c r="O11" s="39" t="s">
        <v>24</v>
      </c>
      <c r="T11" s="24" t="s">
        <v>47</v>
      </c>
      <c r="U11" s="3">
        <f>SUMIF(O5:O20,T11,M5:M20)</f>
        <v>0</v>
      </c>
      <c r="V11" s="3">
        <f t="shared" si="1"/>
        <v>0</v>
      </c>
      <c r="W11" s="3">
        <f>SUMIFS(M5:M20,O5:O20,T11,H5:H20,"FEITO")</f>
        <v>0</v>
      </c>
      <c r="X11" s="17">
        <f t="shared" si="2"/>
        <v>0</v>
      </c>
    </row>
    <row r="12" spans="8:47" ht="46.5">
      <c r="H12" s="40" t="s">
        <v>17</v>
      </c>
      <c r="I12" s="33" t="s">
        <v>48</v>
      </c>
      <c r="J12" s="64" t="s">
        <v>49</v>
      </c>
      <c r="K12" s="35" t="s">
        <v>31</v>
      </c>
      <c r="L12" s="9" t="s">
        <v>21</v>
      </c>
      <c r="M12" s="74">
        <f t="shared" si="0"/>
        <v>8</v>
      </c>
      <c r="N12" s="9">
        <v>2</v>
      </c>
      <c r="O12" s="13" t="s">
        <v>22</v>
      </c>
      <c r="T12" s="25" t="s">
        <v>50</v>
      </c>
      <c r="U12" s="2">
        <f>SUMIF(O5:O20,T12,M5:M20)</f>
        <v>0</v>
      </c>
      <c r="V12" s="2">
        <f t="shared" si="1"/>
        <v>0</v>
      </c>
      <c r="W12" s="2">
        <f>SUMIFS(M5:M20,O5:O20,T12,H5:H20,"FEITO")</f>
        <v>0</v>
      </c>
      <c r="X12" s="18">
        <f t="shared" si="2"/>
        <v>0</v>
      </c>
    </row>
    <row r="13" spans="8:47" ht="77.25">
      <c r="H13" s="38" t="s">
        <v>17</v>
      </c>
      <c r="I13" s="30" t="s">
        <v>51</v>
      </c>
      <c r="J13" s="63" t="s">
        <v>52</v>
      </c>
      <c r="K13" s="32" t="s">
        <v>31</v>
      </c>
      <c r="L13" s="14" t="s">
        <v>32</v>
      </c>
      <c r="M13" s="65">
        <f t="shared" si="0"/>
        <v>13</v>
      </c>
      <c r="N13" s="14">
        <v>1</v>
      </c>
      <c r="O13" s="39" t="s">
        <v>22</v>
      </c>
      <c r="T13" s="24" t="s">
        <v>53</v>
      </c>
      <c r="U13" s="3">
        <f t="shared" ref="U13" si="3">SUMIF(O13:O28,T13,M13:M28)</f>
        <v>0</v>
      </c>
      <c r="V13" s="3">
        <f t="shared" si="1"/>
        <v>0</v>
      </c>
      <c r="W13" s="3">
        <f>SUMIFS(M5:M20,O5:O20,T13,H5:H20,"FEITO")</f>
        <v>0</v>
      </c>
      <c r="X13" s="17">
        <f t="shared" si="2"/>
        <v>0</v>
      </c>
    </row>
    <row r="14" spans="8:47" ht="61.5">
      <c r="H14" s="40" t="s">
        <v>17</v>
      </c>
      <c r="I14" s="33" t="s">
        <v>54</v>
      </c>
      <c r="J14" s="64" t="s">
        <v>55</v>
      </c>
      <c r="K14" s="35" t="s">
        <v>20</v>
      </c>
      <c r="L14" s="9" t="s">
        <v>27</v>
      </c>
      <c r="M14" s="74">
        <f t="shared" si="0"/>
        <v>21</v>
      </c>
      <c r="N14" s="9">
        <v>1</v>
      </c>
      <c r="O14" s="13" t="s">
        <v>22</v>
      </c>
      <c r="T14" s="25" t="s">
        <v>56</v>
      </c>
      <c r="U14" s="2">
        <f>SUMIF(O5:O20,T14,M5:M20)</f>
        <v>0</v>
      </c>
      <c r="V14" s="2">
        <f t="shared" si="1"/>
        <v>0</v>
      </c>
      <c r="W14" s="2">
        <f>SUMIFS(M5:M20,O5:O20,T14,H5:H20,"FEITO")</f>
        <v>0</v>
      </c>
      <c r="X14" s="18">
        <f t="shared" si="2"/>
        <v>0</v>
      </c>
    </row>
    <row r="15" spans="8:47" ht="30.75">
      <c r="H15" s="38" t="s">
        <v>17</v>
      </c>
      <c r="I15" s="30" t="s">
        <v>57</v>
      </c>
      <c r="J15" s="63" t="s">
        <v>58</v>
      </c>
      <c r="K15" s="32" t="s">
        <v>31</v>
      </c>
      <c r="L15" s="14" t="s">
        <v>59</v>
      </c>
      <c r="M15" s="65">
        <f t="shared" si="0"/>
        <v>5</v>
      </c>
      <c r="N15" s="14">
        <v>3</v>
      </c>
      <c r="O15" s="39" t="s">
        <v>34</v>
      </c>
      <c r="T15" s="24" t="s">
        <v>60</v>
      </c>
      <c r="U15" s="3">
        <f>SUMIF(O5:O20,T15,M5:M20)</f>
        <v>0</v>
      </c>
      <c r="V15" s="3">
        <f t="shared" si="1"/>
        <v>0</v>
      </c>
      <c r="W15" s="3">
        <f>SUMIFS(M5:M20,O5:O20,T15,H5:H20,"FEITO")</f>
        <v>0</v>
      </c>
      <c r="X15" s="17">
        <f t="shared" si="2"/>
        <v>0</v>
      </c>
    </row>
    <row r="16" spans="8:47" ht="46.5">
      <c r="H16" s="40" t="s">
        <v>61</v>
      </c>
      <c r="I16" s="33" t="s">
        <v>62</v>
      </c>
      <c r="J16" s="64" t="s">
        <v>63</v>
      </c>
      <c r="K16" s="35" t="s">
        <v>31</v>
      </c>
      <c r="L16" s="9" t="s">
        <v>32</v>
      </c>
      <c r="M16" s="74">
        <f t="shared" si="0"/>
        <v>13</v>
      </c>
      <c r="N16" s="9">
        <v>3</v>
      </c>
      <c r="O16" s="13" t="s">
        <v>22</v>
      </c>
      <c r="T16" s="28" t="s">
        <v>64</v>
      </c>
      <c r="U16" s="2">
        <f>SUMIF(O5:O20,T16,M5:M20)</f>
        <v>0</v>
      </c>
      <c r="V16" s="2">
        <f t="shared" si="1"/>
        <v>0</v>
      </c>
      <c r="W16" s="16">
        <f>SUMIFS(M5:M20,O5:O20,T16,H5:H20,"FEITO")</f>
        <v>0</v>
      </c>
      <c r="X16" s="18">
        <f t="shared" si="2"/>
        <v>0</v>
      </c>
    </row>
    <row r="17" spans="8:27" ht="61.5">
      <c r="H17" s="38" t="s">
        <v>17</v>
      </c>
      <c r="I17" s="30" t="s">
        <v>65</v>
      </c>
      <c r="J17" s="63" t="s">
        <v>66</v>
      </c>
      <c r="K17" s="32" t="s">
        <v>20</v>
      </c>
      <c r="L17" s="14" t="s">
        <v>21</v>
      </c>
      <c r="M17" s="65">
        <f t="shared" si="0"/>
        <v>8</v>
      </c>
      <c r="N17" s="14">
        <v>2</v>
      </c>
      <c r="O17" s="39" t="s">
        <v>24</v>
      </c>
      <c r="T17" s="26" t="s">
        <v>67</v>
      </c>
      <c r="U17" s="3">
        <f>SUMIF(O5:O20,T17,M5:M20)</f>
        <v>0</v>
      </c>
      <c r="V17" s="3">
        <f t="shared" si="1"/>
        <v>0</v>
      </c>
      <c r="W17" s="27">
        <f>SUMIFS(M5:M20,O5:O20,T17,H5:H20,"FEITO")</f>
        <v>0</v>
      </c>
      <c r="X17" s="17">
        <f t="shared" si="2"/>
        <v>0</v>
      </c>
      <c r="AA17" t="s">
        <v>68</v>
      </c>
    </row>
    <row r="18" spans="8:27" ht="61.5">
      <c r="H18" s="40" t="s">
        <v>17</v>
      </c>
      <c r="I18" s="33" t="s">
        <v>69</v>
      </c>
      <c r="J18" s="64" t="s">
        <v>70</v>
      </c>
      <c r="K18" s="35" t="s">
        <v>31</v>
      </c>
      <c r="L18" s="9" t="s">
        <v>71</v>
      </c>
      <c r="M18" s="74">
        <f t="shared" si="0"/>
        <v>3</v>
      </c>
      <c r="N18" s="9">
        <v>2</v>
      </c>
      <c r="O18" s="13" t="s">
        <v>22</v>
      </c>
      <c r="T18" s="12" t="s">
        <v>72</v>
      </c>
      <c r="U18" s="2">
        <f>SUMIF(O5:O20,T18,M5:M20)</f>
        <v>0</v>
      </c>
      <c r="V18" s="2">
        <f t="shared" si="1"/>
        <v>0</v>
      </c>
      <c r="W18" s="2">
        <f>SUMIFS(M5:M20,O5:O20,T18,H5:H20,"FEITO")</f>
        <v>0</v>
      </c>
      <c r="X18" s="18">
        <f t="shared" si="2"/>
        <v>0</v>
      </c>
    </row>
    <row r="19" spans="8:27" ht="77.25">
      <c r="H19" s="38" t="s">
        <v>17</v>
      </c>
      <c r="I19" s="30" t="s">
        <v>73</v>
      </c>
      <c r="J19" s="63" t="s">
        <v>74</v>
      </c>
      <c r="K19" s="32" t="s">
        <v>75</v>
      </c>
      <c r="L19" s="14" t="s">
        <v>71</v>
      </c>
      <c r="M19" s="65">
        <f t="shared" si="0"/>
        <v>3</v>
      </c>
      <c r="N19" s="14">
        <v>3</v>
      </c>
      <c r="O19" s="39" t="s">
        <v>22</v>
      </c>
      <c r="T19" s="23" t="s">
        <v>76</v>
      </c>
      <c r="U19" s="19">
        <f>SUMIF(O5:O20,T19,M5:M20)</f>
        <v>0</v>
      </c>
      <c r="V19" s="19">
        <f t="shared" si="1"/>
        <v>0</v>
      </c>
      <c r="W19" s="19">
        <f>SUMIFS(M5:M20,O5:O20,T19,H5:H20,"FEITO")</f>
        <v>0</v>
      </c>
      <c r="X19" s="75">
        <f t="shared" si="2"/>
        <v>0</v>
      </c>
    </row>
    <row r="20" spans="8:27" ht="77.25">
      <c r="H20" s="40" t="s">
        <v>17</v>
      </c>
      <c r="I20" s="33" t="s">
        <v>77</v>
      </c>
      <c r="J20" s="64" t="s">
        <v>78</v>
      </c>
      <c r="K20" s="35" t="s">
        <v>75</v>
      </c>
      <c r="L20" s="9" t="s">
        <v>59</v>
      </c>
      <c r="M20" s="74">
        <f t="shared" si="0"/>
        <v>5</v>
      </c>
      <c r="N20" s="9">
        <v>3</v>
      </c>
      <c r="O20" s="13" t="s">
        <v>22</v>
      </c>
      <c r="T20" s="20"/>
      <c r="U20" s="21"/>
      <c r="V20" s="22"/>
      <c r="W20" s="22"/>
      <c r="X20" s="22"/>
    </row>
    <row r="21" spans="8:27" ht="67.5" customHeight="1">
      <c r="H21" s="38" t="s">
        <v>61</v>
      </c>
      <c r="I21" s="30" t="s">
        <v>79</v>
      </c>
      <c r="J21" s="63" t="s">
        <v>80</v>
      </c>
      <c r="K21" s="32" t="s">
        <v>20</v>
      </c>
      <c r="L21" s="14" t="s">
        <v>27</v>
      </c>
      <c r="M21" s="14">
        <v>21</v>
      </c>
      <c r="N21" s="14">
        <v>1</v>
      </c>
      <c r="O21" s="39" t="s">
        <v>47</v>
      </c>
      <c r="T21" s="20"/>
      <c r="U21" s="22"/>
      <c r="V21" s="22"/>
      <c r="W21" s="22"/>
      <c r="X21" s="22"/>
    </row>
    <row r="22" spans="8:27" ht="101.25">
      <c r="H22" s="40" t="s">
        <v>61</v>
      </c>
      <c r="I22" s="33" t="s">
        <v>81</v>
      </c>
      <c r="J22" s="34" t="s">
        <v>82</v>
      </c>
      <c r="K22" s="35" t="s">
        <v>31</v>
      </c>
      <c r="L22" s="9" t="s">
        <v>32</v>
      </c>
      <c r="M22" s="9">
        <v>13</v>
      </c>
      <c r="N22" s="9">
        <v>2</v>
      </c>
      <c r="O22" s="13" t="s">
        <v>47</v>
      </c>
      <c r="T22" s="20"/>
      <c r="U22" s="22"/>
      <c r="V22" s="22"/>
      <c r="W22" s="22"/>
      <c r="X22" s="22"/>
    </row>
    <row r="23" spans="8:27" ht="57.75">
      <c r="H23" s="38" t="s">
        <v>61</v>
      </c>
      <c r="I23" s="30" t="s">
        <v>83</v>
      </c>
      <c r="J23" s="31" t="s">
        <v>84</v>
      </c>
      <c r="K23" s="32" t="s">
        <v>20</v>
      </c>
      <c r="L23" s="14" t="s">
        <v>32</v>
      </c>
      <c r="M23" s="14">
        <v>13</v>
      </c>
      <c r="N23" s="14">
        <v>1</v>
      </c>
      <c r="O23" s="39" t="s">
        <v>47</v>
      </c>
    </row>
    <row r="24" spans="8:27" ht="87">
      <c r="H24" s="40" t="s">
        <v>61</v>
      </c>
      <c r="I24" s="33" t="s">
        <v>85</v>
      </c>
      <c r="J24" s="34" t="s">
        <v>86</v>
      </c>
      <c r="K24" s="35" t="s">
        <v>31</v>
      </c>
      <c r="L24" s="9" t="s">
        <v>32</v>
      </c>
      <c r="M24" s="9">
        <v>13</v>
      </c>
      <c r="N24" s="9">
        <v>3</v>
      </c>
      <c r="O24" s="13" t="s">
        <v>47</v>
      </c>
    </row>
    <row r="25" spans="8:27" ht="78" customHeight="1">
      <c r="H25" s="38" t="s">
        <v>61</v>
      </c>
      <c r="I25" s="30" t="s">
        <v>87</v>
      </c>
      <c r="J25" s="31" t="s">
        <v>88</v>
      </c>
      <c r="K25" s="32" t="s">
        <v>75</v>
      </c>
      <c r="L25" s="14" t="s">
        <v>27</v>
      </c>
      <c r="M25" s="14">
        <v>21</v>
      </c>
      <c r="N25" s="14">
        <v>2</v>
      </c>
      <c r="O25" s="39" t="s">
        <v>47</v>
      </c>
    </row>
    <row r="26" spans="8:27" ht="26.25">
      <c r="H26" s="40"/>
      <c r="I26" s="33"/>
      <c r="J26" s="34"/>
      <c r="K26" s="35"/>
      <c r="L26" s="9"/>
      <c r="M26" s="9"/>
      <c r="N26" s="9"/>
      <c r="O26" s="13"/>
    </row>
    <row r="27" spans="8:27" ht="26.25">
      <c r="H27" s="38"/>
      <c r="I27" s="30"/>
      <c r="J27" s="31"/>
      <c r="K27" s="32"/>
      <c r="L27" s="14"/>
      <c r="M27" s="14"/>
      <c r="N27" s="14"/>
      <c r="O27" s="39"/>
    </row>
    <row r="28" spans="8:27" ht="26.25">
      <c r="H28" s="40"/>
      <c r="I28" s="33"/>
      <c r="J28" s="34"/>
      <c r="K28" s="35"/>
      <c r="L28" s="9"/>
      <c r="M28" s="9"/>
      <c r="N28" s="9"/>
      <c r="O28" s="13"/>
    </row>
    <row r="29" spans="8:27" ht="96.75" customHeight="1">
      <c r="H29" s="38"/>
      <c r="I29" s="30"/>
      <c r="J29" s="31"/>
      <c r="K29" s="32"/>
      <c r="L29" s="14"/>
      <c r="M29" s="14"/>
      <c r="N29" s="14"/>
      <c r="O29" s="39"/>
    </row>
    <row r="30" spans="8:27" ht="26.25">
      <c r="H30" s="40"/>
      <c r="I30" s="33"/>
      <c r="J30" s="34"/>
      <c r="K30" s="35"/>
      <c r="L30" s="9"/>
      <c r="M30" s="9"/>
      <c r="N30" s="9"/>
      <c r="O30" s="13"/>
    </row>
    <row r="31" spans="8:27" ht="40.5" customHeight="1">
      <c r="H31" s="38"/>
      <c r="I31" s="30"/>
      <c r="J31" s="31"/>
      <c r="K31" s="32"/>
      <c r="L31" s="14"/>
      <c r="M31" s="14"/>
      <c r="N31" s="14"/>
      <c r="O31" s="39"/>
    </row>
    <row r="32" spans="8:27" ht="49.5" customHeight="1">
      <c r="H32" s="40"/>
      <c r="I32" s="33"/>
      <c r="J32" s="34"/>
      <c r="K32" s="35"/>
      <c r="L32" s="9"/>
      <c r="M32" s="9"/>
      <c r="N32" s="9"/>
      <c r="O32" s="13"/>
    </row>
    <row r="33" spans="7:16" ht="48.75" customHeight="1">
      <c r="H33" s="38"/>
      <c r="I33" s="30"/>
      <c r="J33" s="31"/>
      <c r="K33" s="32"/>
      <c r="L33" s="14"/>
      <c r="M33" s="14"/>
      <c r="N33" s="14"/>
      <c r="O33" s="39"/>
    </row>
    <row r="34" spans="7:16" ht="51.75" customHeight="1">
      <c r="H34" s="40"/>
      <c r="I34" s="33"/>
      <c r="J34" s="34"/>
      <c r="K34" s="35"/>
      <c r="L34" s="9"/>
      <c r="M34" s="9"/>
      <c r="N34" s="9"/>
      <c r="O34" s="13"/>
    </row>
    <row r="35" spans="7:16" ht="48" customHeight="1">
      <c r="H35" s="38"/>
      <c r="I35" s="30"/>
      <c r="J35" s="31"/>
      <c r="K35" s="32"/>
      <c r="L35" s="14"/>
      <c r="M35" s="14"/>
      <c r="N35" s="14"/>
      <c r="O35" s="39"/>
    </row>
    <row r="36" spans="7:16" ht="26.25">
      <c r="H36" s="40"/>
      <c r="I36" s="33"/>
      <c r="J36" s="34"/>
      <c r="K36" s="35"/>
      <c r="L36" s="9"/>
      <c r="M36" s="9"/>
      <c r="N36" s="9"/>
      <c r="O36" s="13"/>
    </row>
    <row r="37" spans="7:16" ht="26.25">
      <c r="H37" s="38"/>
      <c r="I37" s="30"/>
      <c r="J37" s="31"/>
      <c r="K37" s="32"/>
      <c r="L37" s="14"/>
      <c r="M37" s="14"/>
      <c r="N37" s="14"/>
      <c r="O37" s="39"/>
    </row>
    <row r="38" spans="7:16" ht="70.5" customHeight="1">
      <c r="H38" s="40"/>
      <c r="I38" s="33"/>
      <c r="J38" s="34"/>
      <c r="K38" s="35"/>
      <c r="L38" s="9"/>
      <c r="M38" s="9"/>
      <c r="N38" s="9"/>
      <c r="O38" s="13"/>
    </row>
    <row r="39" spans="7:16" ht="26.25">
      <c r="H39" s="38"/>
      <c r="I39" s="30"/>
      <c r="J39" s="31"/>
      <c r="K39" s="32"/>
      <c r="L39" s="14"/>
      <c r="M39" s="14"/>
      <c r="N39" s="14"/>
      <c r="O39" s="39"/>
    </row>
    <row r="40" spans="7:16" ht="26.25">
      <c r="H40" s="40"/>
      <c r="I40" s="33"/>
      <c r="J40" s="34"/>
      <c r="K40" s="35"/>
      <c r="L40" s="9"/>
      <c r="M40" s="9"/>
      <c r="N40" s="9"/>
      <c r="O40" s="13"/>
    </row>
    <row r="41" spans="7:16" ht="26.25">
      <c r="H41" s="38"/>
      <c r="I41" s="30"/>
      <c r="J41" s="31"/>
      <c r="K41" s="32"/>
      <c r="L41" s="14"/>
      <c r="M41" s="14"/>
      <c r="N41" s="14"/>
      <c r="O41" s="39"/>
    </row>
    <row r="42" spans="7:16" ht="39" customHeight="1">
      <c r="H42" s="40"/>
      <c r="I42" s="33"/>
      <c r="J42" s="34"/>
      <c r="K42" s="35"/>
      <c r="L42" s="9"/>
      <c r="M42" s="9"/>
      <c r="N42" s="9"/>
      <c r="O42" s="13"/>
      <c r="P42" s="10"/>
    </row>
    <row r="43" spans="7:16" ht="52.5" customHeight="1">
      <c r="G43" s="8"/>
      <c r="H43" s="38"/>
      <c r="I43" s="30"/>
      <c r="J43" s="31"/>
      <c r="K43" s="32"/>
      <c r="L43" s="14"/>
      <c r="M43" s="14"/>
      <c r="N43" s="14"/>
      <c r="O43" s="39"/>
    </row>
    <row r="44" spans="7:16" ht="53.25" customHeight="1">
      <c r="H44" s="40"/>
      <c r="I44" s="33"/>
      <c r="J44" s="34"/>
      <c r="K44" s="35"/>
      <c r="L44" s="9"/>
      <c r="M44" s="9"/>
      <c r="N44" s="9"/>
      <c r="O44" s="13"/>
      <c r="P44" s="10"/>
    </row>
    <row r="45" spans="7:16" ht="39.75" customHeight="1">
      <c r="H45" s="38"/>
      <c r="I45" s="30"/>
      <c r="J45" s="31"/>
      <c r="K45" s="32"/>
      <c r="L45" s="14"/>
      <c r="M45" s="14"/>
      <c r="N45" s="14"/>
      <c r="O45" s="39"/>
    </row>
    <row r="46" spans="7:16" ht="51.75" customHeight="1">
      <c r="H46" s="40"/>
      <c r="I46" s="33"/>
      <c r="J46" s="34"/>
      <c r="K46" s="35"/>
      <c r="L46" s="9"/>
      <c r="M46" s="9"/>
      <c r="N46" s="9"/>
      <c r="O46" s="13"/>
      <c r="P46" s="10"/>
    </row>
    <row r="47" spans="7:16" ht="33" customHeight="1">
      <c r="H47" s="38"/>
      <c r="I47" s="30"/>
      <c r="J47" s="31"/>
      <c r="K47" s="32"/>
      <c r="L47" s="14"/>
      <c r="M47" s="14"/>
      <c r="N47" s="14"/>
      <c r="O47" s="39"/>
    </row>
    <row r="48" spans="7:16" ht="45" customHeight="1">
      <c r="H48" s="40"/>
      <c r="I48" s="33"/>
      <c r="J48" s="34"/>
      <c r="K48" s="35"/>
      <c r="L48" s="9"/>
      <c r="M48" s="9"/>
      <c r="N48" s="9"/>
      <c r="O48" s="13"/>
    </row>
    <row r="49" spans="8:15" ht="39" customHeight="1">
      <c r="H49" s="38"/>
      <c r="I49" s="30"/>
      <c r="J49" s="31"/>
      <c r="K49" s="32"/>
      <c r="L49" s="14"/>
      <c r="M49" s="14"/>
      <c r="N49" s="14"/>
      <c r="O49" s="39"/>
    </row>
    <row r="50" spans="8:15" ht="37.5" customHeight="1">
      <c r="H50" s="40"/>
      <c r="I50" s="33"/>
      <c r="J50" s="34"/>
      <c r="K50" s="35"/>
      <c r="L50" s="9"/>
      <c r="M50" s="9"/>
      <c r="N50" s="9"/>
      <c r="O50" s="13"/>
    </row>
    <row r="51" spans="8:15" ht="26.25">
      <c r="H51" s="38"/>
      <c r="I51" s="30"/>
      <c r="J51" s="31"/>
      <c r="K51" s="32"/>
      <c r="L51" s="14"/>
      <c r="M51" s="14"/>
      <c r="N51" s="14"/>
      <c r="O51" s="39"/>
    </row>
    <row r="52" spans="8:15" ht="39" customHeight="1">
      <c r="H52" s="40"/>
      <c r="I52" s="33"/>
      <c r="J52" s="34"/>
      <c r="K52" s="35"/>
      <c r="L52" s="9"/>
      <c r="M52" s="9"/>
      <c r="N52" s="9"/>
      <c r="O52" s="13"/>
    </row>
    <row r="53" spans="8:15" ht="34.5" customHeight="1">
      <c r="H53" s="38"/>
      <c r="I53" s="30"/>
      <c r="J53" s="31"/>
      <c r="K53" s="32"/>
      <c r="L53" s="14"/>
      <c r="M53" s="14"/>
      <c r="N53" s="14"/>
      <c r="O53" s="39"/>
    </row>
    <row r="54" spans="8:15" ht="36.75" customHeight="1">
      <c r="H54" s="40"/>
      <c r="I54" s="33"/>
      <c r="J54" s="34"/>
      <c r="K54" s="35"/>
      <c r="L54" s="9"/>
      <c r="M54" s="9"/>
      <c r="N54" s="9"/>
      <c r="O54" s="13"/>
    </row>
    <row r="55" spans="8:15" ht="33.75" customHeight="1">
      <c r="H55" s="38"/>
      <c r="I55" s="30"/>
      <c r="J55" s="31"/>
      <c r="K55" s="32"/>
      <c r="L55" s="14"/>
      <c r="M55" s="14"/>
      <c r="N55" s="14"/>
      <c r="O55" s="39"/>
    </row>
    <row r="56" spans="8:15" ht="26.25">
      <c r="H56" s="40"/>
      <c r="I56" s="33"/>
      <c r="J56" s="34"/>
      <c r="K56" s="35"/>
      <c r="L56" s="9"/>
      <c r="M56" s="9"/>
      <c r="N56" s="9"/>
      <c r="O56" s="13"/>
    </row>
    <row r="57" spans="8:15" ht="38.25" customHeight="1">
      <c r="H57" s="51"/>
      <c r="I57" s="52"/>
      <c r="J57" s="15"/>
      <c r="K57" s="53"/>
      <c r="L57" s="11"/>
      <c r="M57" s="11"/>
      <c r="N57" s="11"/>
      <c r="O57" s="54"/>
    </row>
    <row r="58" spans="8:15" ht="37.5" customHeight="1">
      <c r="H58" s="61"/>
      <c r="I58" s="47"/>
      <c r="J58" s="48"/>
      <c r="K58" s="49"/>
      <c r="L58" s="50"/>
      <c r="M58" s="50"/>
      <c r="N58" s="50"/>
      <c r="O58" s="62"/>
    </row>
    <row r="59" spans="8:15" ht="21" customHeight="1">
      <c r="H59" s="55"/>
      <c r="I59" s="56"/>
      <c r="J59" s="57"/>
      <c r="K59" s="58"/>
      <c r="L59" s="59"/>
      <c r="M59" s="59"/>
      <c r="N59" s="59"/>
      <c r="O59" s="60"/>
    </row>
    <row r="60" spans="8:15" ht="26.25">
      <c r="H60" s="41"/>
      <c r="I60" s="42"/>
      <c r="J60" s="43"/>
      <c r="K60" s="44"/>
      <c r="L60" s="45"/>
      <c r="M60" s="45"/>
      <c r="N60" s="45"/>
      <c r="O60" s="46"/>
    </row>
    <row r="75" ht="15"/>
  </sheetData>
  <mergeCells count="3">
    <mergeCell ref="T3:X3"/>
    <mergeCell ref="Q3:R3"/>
    <mergeCell ref="H3:O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Isabela</dc:creator>
  <cp:keywords/>
  <dc:description/>
  <cp:lastModifiedBy/>
  <cp:revision/>
  <dcterms:created xsi:type="dcterms:W3CDTF">2025-09-23T18:58:44Z</dcterms:created>
  <dcterms:modified xsi:type="dcterms:W3CDTF">2026-03-17T13:14:04Z</dcterms:modified>
  <cp:category/>
  <cp:contentStatus/>
</cp:coreProperties>
</file>