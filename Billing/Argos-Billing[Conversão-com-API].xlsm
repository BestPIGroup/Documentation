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andteccom-my.sharepoint.com/personal/andreia_kubota_sptech_school/Documents/SPTech/2o_SEM[2026-1]/PI_Argos/Billing/"/>
    </mc:Choice>
  </mc:AlternateContent>
  <xr:revisionPtr revIDLastSave="560" documentId="8_{74C77623-BD7B-4566-ADC2-585B56F4A9D5}" xr6:coauthVersionLast="47" xr6:coauthVersionMax="47" xr10:uidLastSave="{6692FA3D-4FA6-4625-B1F5-00AC8D10E6E3}"/>
  <bookViews>
    <workbookView xWindow="6936" yWindow="588" windowWidth="13692" windowHeight="11964" xr2:uid="{00000000-000D-0000-FFFF-FFFF00000000}"/>
  </bookViews>
  <sheets>
    <sheet name="Sheet1" sheetId="1" r:id="rId1"/>
  </sheets>
  <definedNames>
    <definedName name="_xleta.IF" hidden="1" xlm="1">#NAME?</definedName>
    <definedName name="_xleta.SUM" hidden="1" xlm="1">#NAME?</definedName>
  </definedNames>
  <calcPr calcId="191028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2" i="1" l="1"/>
  <c r="F14" i="1" s="1"/>
  <c r="F15" i="1" a="1"/>
  <c r="F15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RICHVALUE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2">
    <bk>
      <rc t="1" v="0"/>
    </bk>
    <bk>
      <rc t="1" v="1"/>
    </bk>
  </valueMetadata>
</metadata>
</file>

<file path=xl/sharedStrings.xml><?xml version="1.0" encoding="utf-8"?>
<sst xmlns="http://schemas.openxmlformats.org/spreadsheetml/2006/main" count="30" uniqueCount="30">
  <si>
    <t>ARGOS</t>
  </si>
  <si>
    <t>-</t>
  </si>
  <si>
    <t>BILLING</t>
  </si>
  <si>
    <t>SERVIÇO</t>
  </si>
  <si>
    <t>QUANTIDADE</t>
  </si>
  <si>
    <t>DESCRIÇÃO</t>
  </si>
  <si>
    <t xml:space="preserve">VALOR MENSAL (US$) </t>
  </si>
  <si>
    <t>EC2 + IP Elástico</t>
  </si>
  <si>
    <t>t3.small + EBS + Snapshot</t>
  </si>
  <si>
    <t>S3</t>
  </si>
  <si>
    <t>Bucket com 5 diretórios</t>
  </si>
  <si>
    <t>Lambda</t>
  </si>
  <si>
    <t>Funções para ETL e Java (Jira e Slack)</t>
  </si>
  <si>
    <t>EventBrigde</t>
  </si>
  <si>
    <t>Timer Lambda (ETL): 5min</t>
  </si>
  <si>
    <t>ECR</t>
  </si>
  <si>
    <t>Armazenamento da imagem docker da ETL</t>
  </si>
  <si>
    <t>TOTAL (Dólares)</t>
  </si>
  <si>
    <t>VALOR TOTAL (MENSAL) - Dólares + 15%</t>
  </si>
  <si>
    <t>VALOR TOTAL (MENSAL) - Reais</t>
  </si>
  <si>
    <t>Instância EC2 - t3.small</t>
  </si>
  <si>
    <t>SO</t>
  </si>
  <si>
    <t>LINUX Ubuntu</t>
  </si>
  <si>
    <t>vCPU</t>
  </si>
  <si>
    <t>RAM (GB)</t>
  </si>
  <si>
    <t>Massa (GB)</t>
  </si>
  <si>
    <t>IPv4</t>
  </si>
  <si>
    <t>Elástico</t>
  </si>
  <si>
    <t>Snapshot</t>
  </si>
  <si>
    <t>1/mês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</si>
</sst>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R$&quot;\ #,##0.00"/>
    <numFmt numFmtId="165" formatCode="[$$-409]#,##0.00"/>
  </numFmts>
  <fonts count="6" x14ac:knownFonts="1">
    <font>
      <sz val="11"/>
      <color theme="1"/>
      <name val="Aptos Narrow"/>
      <family val="2"/>
      <scheme val="minor"/>
    </font>
    <font>
      <sz val="11"/>
      <color theme="1"/>
      <name val="Malgun Gothic"/>
      <family val="2"/>
    </font>
    <font>
      <sz val="20"/>
      <color rgb="FFF5FFFF"/>
      <name val="Malgun Gothic"/>
      <family val="2"/>
    </font>
    <font>
      <sz val="11"/>
      <color rgb="FFF5FFFF"/>
      <name val="Malgun Gothic"/>
      <family val="2"/>
    </font>
    <font>
      <b/>
      <sz val="11"/>
      <color theme="1"/>
      <name val="Malgun Gothic"/>
      <family val="2"/>
    </font>
    <font>
      <b/>
      <sz val="14"/>
      <color theme="1"/>
      <name val="Malgun Gothic"/>
      <family val="2"/>
    </font>
  </fonts>
  <fills count="6">
    <fill>
      <patternFill patternType="none"/>
    </fill>
    <fill>
      <patternFill patternType="gray125"/>
    </fill>
    <fill>
      <patternFill patternType="solid">
        <fgColor rgb="FF234174"/>
        <bgColor indexed="64"/>
      </patternFill>
    </fill>
    <fill>
      <patternFill patternType="solid">
        <fgColor rgb="FFF0892C"/>
        <bgColor indexed="64"/>
      </patternFill>
    </fill>
    <fill>
      <patternFill patternType="solid">
        <fgColor rgb="FF91A0B9"/>
        <bgColor indexed="64"/>
      </patternFill>
    </fill>
    <fill>
      <patternFill patternType="solid">
        <fgColor rgb="FFF0F2F5"/>
        <bgColor indexed="64"/>
      </patternFill>
    </fill>
  </fills>
  <borders count="43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medium">
        <color rgb="FFF0892C"/>
      </bottom>
      <diagonal/>
    </border>
    <border>
      <left/>
      <right style="medium">
        <color rgb="FFF0892C"/>
      </right>
      <top/>
      <bottom style="medium">
        <color rgb="FFF0892C"/>
      </bottom>
      <diagonal/>
    </border>
    <border>
      <left style="medium">
        <color rgb="FFF0892C"/>
      </left>
      <right/>
      <top style="medium">
        <color rgb="FFF0892C"/>
      </top>
      <bottom style="medium">
        <color rgb="FFF0892C"/>
      </bottom>
      <diagonal/>
    </border>
    <border>
      <left/>
      <right/>
      <top style="medium">
        <color rgb="FFF0892C"/>
      </top>
      <bottom style="medium">
        <color rgb="FFF0892C"/>
      </bottom>
      <diagonal/>
    </border>
    <border>
      <left/>
      <right style="medium">
        <color rgb="FFF0892C"/>
      </right>
      <top style="medium">
        <color rgb="FFF0892C"/>
      </top>
      <bottom style="medium">
        <color rgb="FFF0892C"/>
      </bottom>
      <diagonal/>
    </border>
    <border>
      <left/>
      <right style="dashed">
        <color theme="0"/>
      </right>
      <top/>
      <bottom style="dashed">
        <color theme="0"/>
      </bottom>
      <diagonal/>
    </border>
    <border>
      <left style="dashed">
        <color theme="0"/>
      </left>
      <right style="dashed">
        <color theme="0"/>
      </right>
      <top/>
      <bottom style="dashed">
        <color theme="0"/>
      </bottom>
      <diagonal/>
    </border>
    <border>
      <left style="dashed">
        <color theme="0"/>
      </left>
      <right/>
      <top/>
      <bottom style="dashed">
        <color theme="0"/>
      </bottom>
      <diagonal/>
    </border>
    <border>
      <left/>
      <right style="dashed">
        <color theme="0"/>
      </right>
      <top style="dashed">
        <color theme="0"/>
      </top>
      <bottom style="dashed">
        <color theme="0"/>
      </bottom>
      <diagonal/>
    </border>
    <border>
      <left style="dashed">
        <color theme="0"/>
      </left>
      <right style="dashed">
        <color theme="0"/>
      </right>
      <top style="dashed">
        <color theme="0"/>
      </top>
      <bottom style="dashed">
        <color theme="0"/>
      </bottom>
      <diagonal/>
    </border>
    <border>
      <left style="dashed">
        <color theme="0"/>
      </left>
      <right/>
      <top style="dashed">
        <color theme="0"/>
      </top>
      <bottom style="dashed">
        <color theme="0"/>
      </bottom>
      <diagonal/>
    </border>
    <border>
      <left style="dashed">
        <color theme="0"/>
      </left>
      <right style="dashed">
        <color theme="0"/>
      </right>
      <top style="dashed">
        <color theme="0"/>
      </top>
      <bottom/>
      <diagonal/>
    </border>
    <border>
      <left style="dashed">
        <color theme="0"/>
      </left>
      <right/>
      <top style="dashed">
        <color theme="0"/>
      </top>
      <bottom/>
      <diagonal/>
    </border>
    <border>
      <left style="medium">
        <color theme="0"/>
      </left>
      <right style="dashed">
        <color theme="0"/>
      </right>
      <top style="medium">
        <color theme="0"/>
      </top>
      <bottom style="dashed">
        <color theme="0"/>
      </bottom>
      <diagonal/>
    </border>
    <border>
      <left style="dashed">
        <color theme="0"/>
      </left>
      <right style="dashed">
        <color theme="0"/>
      </right>
      <top style="medium">
        <color theme="0"/>
      </top>
      <bottom style="dashed">
        <color theme="0"/>
      </bottom>
      <diagonal/>
    </border>
    <border>
      <left style="dashed">
        <color theme="0"/>
      </left>
      <right style="medium">
        <color theme="0"/>
      </right>
      <top style="medium">
        <color theme="0"/>
      </top>
      <bottom style="dashed">
        <color theme="0"/>
      </bottom>
      <diagonal/>
    </border>
    <border>
      <left style="medium">
        <color theme="0"/>
      </left>
      <right style="dashed">
        <color theme="0"/>
      </right>
      <top style="dashed">
        <color theme="0"/>
      </top>
      <bottom style="dashed">
        <color theme="0"/>
      </bottom>
      <diagonal/>
    </border>
    <border>
      <left style="dashed">
        <color theme="0"/>
      </left>
      <right style="medium">
        <color theme="0"/>
      </right>
      <top style="dashed">
        <color theme="0"/>
      </top>
      <bottom style="dashed">
        <color theme="0"/>
      </bottom>
      <diagonal/>
    </border>
    <border>
      <left style="medium">
        <color theme="0"/>
      </left>
      <right style="dashed">
        <color theme="0"/>
      </right>
      <top style="dashed">
        <color theme="0"/>
      </top>
      <bottom style="medium">
        <color theme="0"/>
      </bottom>
      <diagonal/>
    </border>
    <border>
      <left style="dashed">
        <color theme="0"/>
      </left>
      <right style="dashed">
        <color theme="0"/>
      </right>
      <top style="dashed">
        <color theme="0"/>
      </top>
      <bottom style="medium">
        <color theme="0"/>
      </bottom>
      <diagonal/>
    </border>
    <border>
      <left style="dashed">
        <color theme="0"/>
      </left>
      <right style="medium">
        <color theme="0"/>
      </right>
      <top style="dashed">
        <color theme="0"/>
      </top>
      <bottom style="medium">
        <color theme="0"/>
      </bottom>
      <diagonal/>
    </border>
    <border>
      <left style="medium">
        <color rgb="FFF0892C"/>
      </left>
      <right/>
      <top/>
      <bottom style="medium">
        <color rgb="FFF0892C"/>
      </bottom>
      <diagonal/>
    </border>
    <border>
      <left style="dashed">
        <color theme="0"/>
      </left>
      <right style="dashed">
        <color theme="0"/>
      </right>
      <top/>
      <bottom/>
      <diagonal/>
    </border>
    <border>
      <left style="dashed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dashed">
        <color theme="0"/>
      </left>
      <right style="dashed">
        <color theme="0"/>
      </right>
      <top style="thin">
        <color theme="0"/>
      </top>
      <bottom style="dashed">
        <color theme="0"/>
      </bottom>
      <diagonal/>
    </border>
    <border>
      <left style="dashed">
        <color theme="0"/>
      </left>
      <right/>
      <top style="thin">
        <color theme="0"/>
      </top>
      <bottom style="dashed">
        <color theme="0"/>
      </bottom>
      <diagonal/>
    </border>
    <border>
      <left style="medium">
        <color rgb="FF91A0B9"/>
      </left>
      <right/>
      <top style="medium">
        <color rgb="FF91A0B9"/>
      </top>
      <bottom/>
      <diagonal/>
    </border>
    <border>
      <left/>
      <right style="medium">
        <color rgb="FF91A0B9"/>
      </right>
      <top style="medium">
        <color rgb="FF91A0B9"/>
      </top>
      <bottom/>
      <diagonal/>
    </border>
    <border>
      <left style="medium">
        <color rgb="FF91A0B9"/>
      </left>
      <right/>
      <top/>
      <bottom/>
      <diagonal/>
    </border>
    <border>
      <left/>
      <right style="medium">
        <color rgb="FF91A0B9"/>
      </right>
      <top/>
      <bottom/>
      <diagonal/>
    </border>
    <border>
      <left style="medium">
        <color rgb="FF91A0B9"/>
      </left>
      <right/>
      <top/>
      <bottom style="medium">
        <color rgb="FF91A0B9"/>
      </bottom>
      <diagonal/>
    </border>
    <border>
      <left/>
      <right style="medium">
        <color rgb="FF91A0B9"/>
      </right>
      <top/>
      <bottom style="medium">
        <color rgb="FF91A0B9"/>
      </bottom>
      <diagonal/>
    </border>
    <border>
      <left style="dashed">
        <color theme="0"/>
      </left>
      <right/>
      <top style="thin">
        <color theme="0"/>
      </top>
      <bottom/>
      <diagonal/>
    </border>
    <border>
      <left style="dashed">
        <color theme="0"/>
      </left>
      <right style="dashed">
        <color theme="0"/>
      </right>
      <top/>
      <bottom style="thin">
        <color theme="0"/>
      </bottom>
      <diagonal/>
    </border>
    <border>
      <left style="thin">
        <color theme="0"/>
      </left>
      <right style="dashed">
        <color theme="0"/>
      </right>
      <top style="dashed">
        <color theme="0"/>
      </top>
      <bottom style="dashed">
        <color theme="0"/>
      </bottom>
      <diagonal/>
    </border>
    <border>
      <left style="thin">
        <color theme="0"/>
      </left>
      <right style="dashed">
        <color theme="0"/>
      </right>
      <top style="dashed">
        <color theme="0"/>
      </top>
      <bottom/>
      <diagonal/>
    </border>
    <border>
      <left style="dashed">
        <color theme="0"/>
      </left>
      <right style="thin">
        <color theme="0"/>
      </right>
      <top style="dashed">
        <color theme="0"/>
      </top>
      <bottom style="dashed">
        <color theme="0"/>
      </bottom>
      <diagonal/>
    </border>
    <border>
      <left style="dashed">
        <color theme="0"/>
      </left>
      <right style="thin">
        <color theme="0"/>
      </right>
      <top/>
      <bottom style="dashed">
        <color theme="0"/>
      </bottom>
      <diagonal/>
    </border>
    <border>
      <left/>
      <right style="dashed">
        <color theme="0"/>
      </right>
      <top/>
      <bottom/>
      <diagonal/>
    </border>
  </borders>
  <cellStyleXfs count="1">
    <xf numFmtId="0" fontId="0" fillId="0" borderId="0"/>
  </cellStyleXfs>
  <cellXfs count="73">
    <xf numFmtId="0" fontId="0" fillId="0" borderId="0" xfId="0"/>
    <xf numFmtId="0" fontId="1" fillId="2" borderId="0" xfId="0" applyFont="1" applyFill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3" fillId="2" borderId="0" xfId="0" applyFont="1" applyFill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165" fontId="1" fillId="0" borderId="0" xfId="0" applyNumberFormat="1" applyFont="1" applyAlignment="1">
      <alignment horizontal="center" vertical="center" wrapText="1"/>
    </xf>
    <xf numFmtId="164" fontId="1" fillId="0" borderId="0" xfId="0" applyNumberFormat="1" applyFont="1" applyAlignment="1">
      <alignment horizontal="center" vertical="center" wrapText="1"/>
    </xf>
    <xf numFmtId="165" fontId="5" fillId="0" borderId="7" xfId="0" applyNumberFormat="1" applyFont="1" applyBorder="1" applyAlignment="1">
      <alignment horizontal="right" vertical="center" wrapText="1"/>
    </xf>
    <xf numFmtId="164" fontId="5" fillId="3" borderId="4" xfId="0" applyNumberFormat="1" applyFont="1" applyFill="1" applyBorder="1" applyAlignment="1">
      <alignment horizontal="right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5" borderId="0" xfId="0" applyFont="1" applyFill="1" applyAlignment="1">
      <alignment horizontal="center" vertical="center" wrapText="1"/>
    </xf>
    <xf numFmtId="165" fontId="4" fillId="0" borderId="7" xfId="0" applyNumberFormat="1" applyFont="1" applyBorder="1" applyAlignment="1">
      <alignment horizontal="center" vertical="center" wrapText="1"/>
    </xf>
    <xf numFmtId="0" fontId="1" fillId="0" borderId="12" xfId="0" applyFont="1" applyBorder="1" applyAlignment="1">
      <alignment horizontal="center" vertical="center" wrapText="1"/>
    </xf>
    <xf numFmtId="0" fontId="1" fillId="0" borderId="16" xfId="0" applyFont="1" applyBorder="1" applyAlignment="1">
      <alignment horizontal="center" vertical="center" wrapText="1"/>
    </xf>
    <xf numFmtId="0" fontId="1" fillId="0" borderId="17" xfId="0" applyFont="1" applyBorder="1" applyAlignment="1">
      <alignment horizontal="center" vertical="center" wrapText="1"/>
    </xf>
    <xf numFmtId="0" fontId="1" fillId="0" borderId="18" xfId="0" applyFont="1" applyBorder="1" applyAlignment="1">
      <alignment horizontal="center" vertical="center" wrapText="1"/>
    </xf>
    <xf numFmtId="0" fontId="1" fillId="0" borderId="19" xfId="0" applyFont="1" applyBorder="1" applyAlignment="1">
      <alignment horizontal="center" vertical="center" wrapText="1"/>
    </xf>
    <xf numFmtId="0" fontId="1" fillId="0" borderId="20" xfId="0" applyFont="1" applyBorder="1" applyAlignment="1">
      <alignment horizontal="center" vertical="center" wrapText="1"/>
    </xf>
    <xf numFmtId="0" fontId="1" fillId="0" borderId="21" xfId="0" applyFont="1" applyBorder="1" applyAlignment="1">
      <alignment horizontal="center" vertical="center" wrapText="1"/>
    </xf>
    <xf numFmtId="0" fontId="1" fillId="0" borderId="22" xfId="0" applyFont="1" applyBorder="1" applyAlignment="1">
      <alignment horizontal="center" vertical="center" wrapText="1"/>
    </xf>
    <xf numFmtId="0" fontId="1" fillId="0" borderId="23" xfId="0" applyFont="1" applyBorder="1" applyAlignment="1">
      <alignment horizontal="center" vertical="center" wrapText="1"/>
    </xf>
    <xf numFmtId="0" fontId="1" fillId="0" borderId="12" xfId="0" applyFont="1" applyBorder="1" applyAlignment="1">
      <alignment vertical="center" wrapText="1"/>
    </xf>
    <xf numFmtId="0" fontId="1" fillId="0" borderId="13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1" fillId="0" borderId="25" xfId="0" applyFont="1" applyBorder="1" applyAlignment="1">
      <alignment horizontal="center" vertical="center" wrapText="1"/>
    </xf>
    <xf numFmtId="0" fontId="1" fillId="0" borderId="11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1" fillId="0" borderId="11" xfId="0" applyFont="1" applyBorder="1" applyAlignment="1">
      <alignment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165" fontId="1" fillId="0" borderId="10" xfId="0" applyNumberFormat="1" applyFont="1" applyBorder="1" applyAlignment="1">
      <alignment horizontal="center" vertical="center" wrapText="1"/>
    </xf>
    <xf numFmtId="165" fontId="1" fillId="0" borderId="13" xfId="0" applyNumberFormat="1" applyFont="1" applyBorder="1" applyAlignment="1">
      <alignment horizontal="center" vertical="center" wrapText="1"/>
    </xf>
    <xf numFmtId="165" fontId="1" fillId="0" borderId="26" xfId="0" applyNumberFormat="1" applyFont="1" applyBorder="1" applyAlignment="1">
      <alignment horizontal="center" vertical="center" wrapText="1"/>
    </xf>
    <xf numFmtId="165" fontId="1" fillId="0" borderId="13" xfId="0" applyNumberFormat="1" applyFont="1" applyBorder="1" applyAlignment="1">
      <alignment horizontal="left" vertical="center" wrapText="1"/>
    </xf>
    <xf numFmtId="165" fontId="1" fillId="0" borderId="15" xfId="0" applyNumberFormat="1" applyFont="1" applyBorder="1" applyAlignment="1">
      <alignment horizontal="center" vertical="center" wrapText="1"/>
    </xf>
    <xf numFmtId="0" fontId="4" fillId="0" borderId="5" xfId="0" applyFont="1" applyBorder="1" applyAlignment="1">
      <alignment horizontal="center" vertical="center" wrapText="1"/>
    </xf>
    <xf numFmtId="0" fontId="1" fillId="0" borderId="28" xfId="0" applyFont="1" applyBorder="1" applyAlignment="1">
      <alignment horizontal="center" vertical="center" wrapText="1"/>
    </xf>
    <xf numFmtId="0" fontId="1" fillId="0" borderId="36" xfId="0" applyFont="1" applyBorder="1" applyAlignment="1">
      <alignment horizontal="center" vertical="center" wrapText="1"/>
    </xf>
    <xf numFmtId="0" fontId="1" fillId="0" borderId="37" xfId="0" applyFont="1" applyBorder="1" applyAlignment="1">
      <alignment horizontal="center" vertical="center" wrapText="1"/>
    </xf>
    <xf numFmtId="0" fontId="1" fillId="0" borderId="38" xfId="0" applyFont="1" applyBorder="1" applyAlignment="1">
      <alignment horizontal="left" vertical="center" wrapText="1"/>
    </xf>
    <xf numFmtId="0" fontId="1" fillId="0" borderId="38" xfId="0" applyFont="1" applyBorder="1" applyAlignment="1">
      <alignment horizontal="center" vertical="center" wrapText="1"/>
    </xf>
    <xf numFmtId="0" fontId="1" fillId="0" borderId="39" xfId="0" applyFont="1" applyBorder="1" applyAlignment="1">
      <alignment horizontal="center" vertical="center" wrapText="1"/>
    </xf>
    <xf numFmtId="0" fontId="1" fillId="0" borderId="29" xfId="0" applyFont="1" applyBorder="1" applyAlignment="1">
      <alignment horizontal="center" vertical="center" wrapText="1"/>
    </xf>
    <xf numFmtId="0" fontId="1" fillId="0" borderId="40" xfId="0" applyFont="1" applyBorder="1" applyAlignment="1">
      <alignment horizontal="center" vertical="center" wrapText="1"/>
    </xf>
    <xf numFmtId="0" fontId="1" fillId="0" borderId="41" xfId="0" applyFont="1" applyBorder="1" applyAlignment="1">
      <alignment horizontal="center" vertical="center" wrapText="1"/>
    </xf>
    <xf numFmtId="0" fontId="1" fillId="0" borderId="42" xfId="0" applyFont="1" applyBorder="1" applyAlignment="1">
      <alignment horizontal="center" vertical="center" wrapText="1"/>
    </xf>
    <xf numFmtId="165" fontId="1" fillId="5" borderId="0" xfId="0" applyNumberFormat="1" applyFont="1" applyFill="1" applyAlignment="1">
      <alignment horizontal="center" vertical="center" wrapText="1"/>
    </xf>
    <xf numFmtId="165" fontId="1" fillId="5" borderId="27" xfId="0" applyNumberFormat="1" applyFont="1" applyFill="1" applyBorder="1" applyAlignment="1">
      <alignment horizontal="center" vertical="center" wrapText="1"/>
    </xf>
    <xf numFmtId="165" fontId="1" fillId="0" borderId="0" xfId="0" applyNumberFormat="1" applyFont="1" applyAlignment="1">
      <alignment horizontal="center" vertical="center" wrapText="1"/>
    </xf>
    <xf numFmtId="165" fontId="1" fillId="0" borderId="27" xfId="0" applyNumberFormat="1" applyFont="1" applyBorder="1" applyAlignment="1">
      <alignment horizontal="center" vertical="center" wrapText="1"/>
    </xf>
    <xf numFmtId="0" fontId="2" fillId="2" borderId="0" xfId="0" applyFont="1" applyFill="1" applyAlignment="1">
      <alignment horizontal="left" vertical="center" wrapText="1"/>
    </xf>
    <xf numFmtId="0" fontId="2" fillId="2" borderId="27" xfId="0" applyFont="1" applyFill="1" applyBorder="1" applyAlignment="1">
      <alignment horizontal="left" vertical="center" wrapText="1"/>
    </xf>
    <xf numFmtId="165" fontId="4" fillId="4" borderId="0" xfId="0" applyNumberFormat="1" applyFont="1" applyFill="1" applyAlignment="1">
      <alignment horizontal="center" vertical="center" wrapText="1"/>
    </xf>
    <xf numFmtId="165" fontId="4" fillId="4" borderId="27" xfId="0" applyNumberFormat="1" applyFont="1" applyFill="1" applyBorder="1" applyAlignment="1">
      <alignment horizontal="center" vertical="center" wrapText="1"/>
    </xf>
    <xf numFmtId="0" fontId="1" fillId="5" borderId="0" xfId="0" applyFont="1" applyFill="1" applyAlignment="1">
      <alignment horizontal="center" vertical="center" wrapText="1"/>
    </xf>
    <xf numFmtId="0" fontId="2" fillId="2" borderId="0" xfId="0" applyFont="1" applyFill="1" applyAlignment="1">
      <alignment horizontal="right" vertical="center" wrapText="1"/>
    </xf>
    <xf numFmtId="0" fontId="2" fillId="2" borderId="0" xfId="0" applyFont="1" applyFill="1" applyAlignment="1">
      <alignment horizontal="center" vertical="center" wrapText="1"/>
    </xf>
    <xf numFmtId="0" fontId="4" fillId="4" borderId="0" xfId="0" applyFont="1" applyFill="1" applyAlignment="1">
      <alignment horizontal="center" vertical="center" wrapText="1"/>
    </xf>
    <xf numFmtId="0" fontId="4" fillId="3" borderId="24" xfId="0" applyFont="1" applyFill="1" applyBorder="1" applyAlignment="1">
      <alignment horizontal="left" vertical="center" wrapText="1"/>
    </xf>
    <xf numFmtId="0" fontId="4" fillId="3" borderId="3" xfId="0" applyFont="1" applyFill="1" applyBorder="1" applyAlignment="1">
      <alignment horizontal="left" vertical="center" wrapText="1"/>
    </xf>
    <xf numFmtId="0" fontId="1" fillId="0" borderId="28" xfId="0" applyFont="1" applyBorder="1" applyAlignment="1">
      <alignment horizontal="center" vertical="center" wrapText="1"/>
    </xf>
    <xf numFmtId="0" fontId="1" fillId="0" borderId="14" xfId="0" applyFont="1" applyBorder="1" applyAlignment="1">
      <alignment horizontal="center" vertical="center" wrapText="1"/>
    </xf>
    <xf numFmtId="0" fontId="4" fillId="0" borderId="5" xfId="0" applyFont="1" applyBorder="1" applyAlignment="1">
      <alignment horizontal="left" vertical="center" wrapText="1"/>
    </xf>
    <xf numFmtId="0" fontId="4" fillId="0" borderId="6" xfId="0" applyFont="1" applyBorder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0" fontId="4" fillId="4" borderId="30" xfId="0" applyFont="1" applyFill="1" applyBorder="1" applyAlignment="1">
      <alignment horizontal="center" vertical="center" wrapText="1"/>
    </xf>
    <xf numFmtId="0" fontId="4" fillId="4" borderId="31" xfId="0" applyFont="1" applyFill="1" applyBorder="1" applyAlignment="1">
      <alignment horizontal="center" vertical="center" wrapText="1"/>
    </xf>
    <xf numFmtId="0" fontId="4" fillId="4" borderId="32" xfId="0" applyFont="1" applyFill="1" applyBorder="1" applyAlignment="1">
      <alignment horizontal="center" vertical="center" wrapText="1"/>
    </xf>
    <xf numFmtId="0" fontId="4" fillId="4" borderId="33" xfId="0" applyFont="1" applyFill="1" applyBorder="1" applyAlignment="1">
      <alignment horizontal="center" vertical="center" wrapText="1"/>
    </xf>
    <xf numFmtId="0" fontId="4" fillId="4" borderId="34" xfId="0" applyFont="1" applyFill="1" applyBorder="1" applyAlignment="1">
      <alignment horizontal="center" vertical="center" wrapText="1"/>
    </xf>
    <xf numFmtId="0" fontId="4" fillId="4" borderId="35" xfId="0" applyFont="1" applyFill="1" applyBorder="1" applyAlignment="1">
      <alignment horizontal="center" vertical="center" wrapText="1"/>
    </xf>
    <xf numFmtId="0" fontId="1" fillId="5" borderId="0" xfId="0" applyFont="1" applyFill="1" applyAlignment="1">
      <alignment horizontal="left" vertical="center" wrapText="1"/>
    </xf>
    <xf numFmtId="0" fontId="1" fillId="0" borderId="0" xfId="0" applyFont="1" applyAlignment="1">
      <alignment horizontal="left" vertical="center" wrapText="1"/>
    </xf>
  </cellXfs>
  <cellStyles count="1">
    <cellStyle name="Normal" xfId="0" builtinId="0"/>
  </cellStyles>
  <dxfs count="0"/>
  <tableStyles count="0" defaultTableStyle="TableStyleMedium2" defaultPivotStyle="PivotStyleMedium9"/>
  <colors>
    <mruColors>
      <color rgb="FF91A0B9"/>
      <color rgb="FFF0892C"/>
      <color rgb="FF234174"/>
      <color rgb="FFF0F2F5"/>
      <color rgb="FF9FBAE1"/>
      <color rgb="FFF8C596"/>
      <color rgb="FFF5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RichValueStructure" Target="richData/rdrichvaluestructure.xml"/><Relationship Id="rId3" Type="http://schemas.openxmlformats.org/officeDocument/2006/relationships/styles" Target="styles.xml"/><Relationship Id="rId7" Type="http://schemas.microsoft.com/office/2017/06/relationships/rdRichValue" Target="richData/rdrichvalue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22/10/relationships/richValueRel" Target="richData/richValueRel.xml"/><Relationship Id="rId11" Type="http://schemas.microsoft.com/office/2006/relationships/vbaProject" Target="vbaProject.bin"/><Relationship Id="rId5" Type="http://schemas.openxmlformats.org/officeDocument/2006/relationships/sheetMetadata" Target="metadata.xml"/><Relationship Id="rId10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17/06/relationships/rdRichValueTypes" Target="richData/rdRichValueTypes.xml"/></Relationships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0</v>
    <v>5</v>
  </rv>
  <rv s="0">
    <v>1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45F82"/>
      </a:accent1>
      <a:accent2>
        <a:srgbClr val="E87331"/>
      </a:accent2>
      <a:accent3>
        <a:srgbClr val="186C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M24"/>
  <sheetViews>
    <sheetView tabSelected="1" workbookViewId="0">
      <selection activeCell="F1" sqref="F1:J3"/>
    </sheetView>
  </sheetViews>
  <sheetFormatPr defaultColWidth="0" defaultRowHeight="17.399999999999999" zeroHeight="1" x14ac:dyDescent="0.3"/>
  <cols>
    <col min="1" max="1" width="0.6640625" style="2" customWidth="1"/>
    <col min="2" max="2" width="9.5546875" style="2" customWidth="1"/>
    <col min="3" max="3" width="0.6640625" style="2" customWidth="1"/>
    <col min="4" max="4" width="26.88671875" style="2" customWidth="1"/>
    <col min="5" max="5" width="5.88671875" style="2" customWidth="1"/>
    <col min="6" max="6" width="14.33203125" style="2" customWidth="1"/>
    <col min="7" max="7" width="21.5546875" style="2" customWidth="1"/>
    <col min="8" max="8" width="22" style="2" customWidth="1"/>
    <col min="9" max="9" width="12.33203125" style="5" customWidth="1"/>
    <col min="10" max="10" width="0.109375" style="2" customWidth="1"/>
    <col min="11" max="16384" width="0" style="2" hidden="1"/>
  </cols>
  <sheetData>
    <row r="1" spans="1:13" ht="6" customHeight="1" x14ac:dyDescent="0.3">
      <c r="A1" s="1"/>
      <c r="B1" s="1"/>
      <c r="C1" s="1"/>
      <c r="D1" s="55" t="s">
        <v>0</v>
      </c>
      <c r="E1" s="56" t="s">
        <v>1</v>
      </c>
      <c r="F1" s="50" t="s">
        <v>2</v>
      </c>
      <c r="G1" s="50"/>
      <c r="H1" s="50"/>
      <c r="I1" s="50"/>
      <c r="J1" s="51"/>
    </row>
    <row r="2" spans="1:13" s="4" customFormat="1" ht="24.75" customHeight="1" x14ac:dyDescent="0.3">
      <c r="A2" s="3"/>
      <c r="B2" s="3" t="e" vm="1">
        <v>#VALUE!</v>
      </c>
      <c r="C2" s="3"/>
      <c r="D2" s="55"/>
      <c r="E2" s="56"/>
      <c r="F2" s="50"/>
      <c r="G2" s="50"/>
      <c r="H2" s="50"/>
      <c r="I2" s="50"/>
      <c r="J2" s="51"/>
    </row>
    <row r="3" spans="1:13" ht="4.5" customHeight="1" x14ac:dyDescent="0.3">
      <c r="A3" s="1"/>
      <c r="B3" s="1"/>
      <c r="C3" s="1"/>
      <c r="D3" s="55"/>
      <c r="E3" s="56"/>
      <c r="F3" s="50"/>
      <c r="G3" s="50"/>
      <c r="H3" s="50"/>
      <c r="I3" s="50"/>
      <c r="J3" s="51"/>
    </row>
    <row r="4" spans="1:13" ht="3.6" customHeight="1" x14ac:dyDescent="0.3">
      <c r="A4" s="13"/>
      <c r="B4" s="14"/>
      <c r="C4" s="15"/>
      <c r="D4" s="57" t="s">
        <v>3</v>
      </c>
      <c r="E4" s="57"/>
      <c r="F4" s="57" t="s">
        <v>4</v>
      </c>
      <c r="G4" s="57" t="s">
        <v>5</v>
      </c>
      <c r="H4" s="57"/>
      <c r="I4" s="52" t="s">
        <v>6</v>
      </c>
      <c r="J4" s="53"/>
    </row>
    <row r="5" spans="1:13" ht="42.6" customHeight="1" x14ac:dyDescent="0.3">
      <c r="A5" s="16"/>
      <c r="B5" s="12" t="e" vm="2">
        <v>#VALUE!</v>
      </c>
      <c r="C5" s="17"/>
      <c r="D5" s="57"/>
      <c r="E5" s="57"/>
      <c r="F5" s="57"/>
      <c r="G5" s="57"/>
      <c r="H5" s="57"/>
      <c r="I5" s="52"/>
      <c r="J5" s="53"/>
    </row>
    <row r="6" spans="1:13" ht="4.2" customHeight="1" x14ac:dyDescent="0.3">
      <c r="A6" s="18"/>
      <c r="B6" s="19"/>
      <c r="C6" s="20"/>
      <c r="D6" s="57"/>
      <c r="E6" s="57"/>
      <c r="F6" s="57"/>
      <c r="G6" s="57"/>
      <c r="H6" s="57"/>
      <c r="I6" s="52"/>
      <c r="J6" s="53"/>
    </row>
    <row r="7" spans="1:13" ht="26.25" customHeight="1" x14ac:dyDescent="0.3">
      <c r="A7" s="54">
        <v>1</v>
      </c>
      <c r="B7" s="54"/>
      <c r="C7" s="54"/>
      <c r="D7" s="54" t="s">
        <v>7</v>
      </c>
      <c r="E7" s="54"/>
      <c r="F7" s="10">
        <v>1</v>
      </c>
      <c r="G7" s="71" t="s">
        <v>8</v>
      </c>
      <c r="H7" s="71"/>
      <c r="I7" s="46">
        <v>18.28</v>
      </c>
      <c r="J7" s="47"/>
    </row>
    <row r="8" spans="1:13" ht="26.25" customHeight="1" x14ac:dyDescent="0.3">
      <c r="A8" s="64">
        <v>2</v>
      </c>
      <c r="B8" s="64"/>
      <c r="C8" s="64"/>
      <c r="D8" s="64" t="s">
        <v>9</v>
      </c>
      <c r="E8" s="64"/>
      <c r="F8" s="2">
        <v>1</v>
      </c>
      <c r="G8" s="72" t="s">
        <v>10</v>
      </c>
      <c r="H8" s="72"/>
      <c r="I8" s="48">
        <v>0.11</v>
      </c>
      <c r="J8" s="49"/>
    </row>
    <row r="9" spans="1:13" ht="26.25" customHeight="1" x14ac:dyDescent="0.3">
      <c r="A9" s="54">
        <v>3</v>
      </c>
      <c r="B9" s="54"/>
      <c r="C9" s="54"/>
      <c r="D9" s="54" t="s">
        <v>11</v>
      </c>
      <c r="E9" s="54"/>
      <c r="F9" s="10">
        <v>2</v>
      </c>
      <c r="G9" s="71" t="s">
        <v>12</v>
      </c>
      <c r="H9" s="71"/>
      <c r="I9" s="46">
        <v>7.0000000000000007E-2</v>
      </c>
      <c r="J9" s="47"/>
    </row>
    <row r="10" spans="1:13" ht="26.25" customHeight="1" x14ac:dyDescent="0.3">
      <c r="A10" s="64">
        <v>4</v>
      </c>
      <c r="B10" s="64"/>
      <c r="C10" s="64"/>
      <c r="D10" s="64" t="s">
        <v>13</v>
      </c>
      <c r="E10" s="64"/>
      <c r="F10" s="2">
        <v>1</v>
      </c>
      <c r="G10" s="72" t="s">
        <v>14</v>
      </c>
      <c r="H10" s="72"/>
      <c r="I10" s="48">
        <v>0.05</v>
      </c>
      <c r="J10" s="49"/>
    </row>
    <row r="11" spans="1:13" ht="26.25" customHeight="1" x14ac:dyDescent="0.3">
      <c r="A11" s="54">
        <v>5</v>
      </c>
      <c r="B11" s="54"/>
      <c r="C11" s="54"/>
      <c r="D11" s="54" t="s">
        <v>15</v>
      </c>
      <c r="E11" s="54"/>
      <c r="F11" s="10">
        <v>1</v>
      </c>
      <c r="G11" s="71" t="s">
        <v>16</v>
      </c>
      <c r="H11" s="71"/>
      <c r="I11" s="46">
        <v>0.23</v>
      </c>
      <c r="J11" s="47"/>
    </row>
    <row r="12" spans="1:13" ht="23.25" customHeight="1" x14ac:dyDescent="0.3">
      <c r="A12" s="60"/>
      <c r="B12" s="60"/>
      <c r="C12" s="60"/>
      <c r="D12" s="60"/>
      <c r="E12" s="60"/>
      <c r="F12" s="36"/>
      <c r="G12" s="37"/>
      <c r="H12" s="35" t="s">
        <v>17</v>
      </c>
      <c r="I12" s="11">
        <f>SUM(I7:I11)</f>
        <v>18.740000000000002</v>
      </c>
      <c r="J12" s="9"/>
      <c r="M12" s="6"/>
    </row>
    <row r="13" spans="1:13" x14ac:dyDescent="0.3">
      <c r="A13" s="61"/>
      <c r="B13" s="61"/>
      <c r="C13" s="61"/>
      <c r="D13" s="61"/>
      <c r="E13" s="61"/>
      <c r="F13" s="26"/>
      <c r="G13" s="12"/>
      <c r="H13" s="23"/>
      <c r="I13" s="30"/>
      <c r="J13" s="29"/>
    </row>
    <row r="14" spans="1:13" ht="31.95" customHeight="1" x14ac:dyDescent="0.3">
      <c r="A14" s="62" t="s">
        <v>18</v>
      </c>
      <c r="B14" s="63"/>
      <c r="C14" s="63"/>
      <c r="D14" s="63"/>
      <c r="E14" s="63"/>
      <c r="F14" s="7">
        <f>(I12*1.15)</f>
        <v>21.551000000000002</v>
      </c>
      <c r="G14" s="25"/>
      <c r="H14" s="12"/>
      <c r="I14" s="31"/>
      <c r="J14" s="29"/>
    </row>
    <row r="15" spans="1:13" ht="31.95" customHeight="1" x14ac:dyDescent="0.3">
      <c r="A15" s="58" t="s">
        <v>19</v>
      </c>
      <c r="B15" s="59"/>
      <c r="C15" s="59"/>
      <c r="D15" s="59"/>
      <c r="E15" s="59"/>
      <c r="F15" s="8" cm="1">
        <f t="array" ref="F15">ConverterDolarParaReal(F14)</f>
        <v>108.97263150000001</v>
      </c>
      <c r="G15" s="27"/>
      <c r="H15" s="21"/>
      <c r="I15" s="31"/>
      <c r="J15" s="29"/>
    </row>
    <row r="16" spans="1:13" x14ac:dyDescent="0.3">
      <c r="A16" s="23"/>
      <c r="B16" s="23"/>
      <c r="C16" s="23"/>
      <c r="D16" s="45"/>
      <c r="E16" s="24"/>
      <c r="F16" s="38"/>
      <c r="G16" s="38"/>
      <c r="H16" s="24"/>
      <c r="I16" s="32"/>
      <c r="J16" s="29"/>
    </row>
    <row r="17" spans="1:10" x14ac:dyDescent="0.3">
      <c r="A17" s="12"/>
      <c r="B17" s="12"/>
      <c r="C17" s="22"/>
      <c r="D17" s="65" t="s">
        <v>20</v>
      </c>
      <c r="E17" s="66"/>
      <c r="F17" s="10" t="s">
        <v>21</v>
      </c>
      <c r="G17" s="10" t="s">
        <v>22</v>
      </c>
      <c r="H17" s="39"/>
      <c r="I17" s="31"/>
      <c r="J17" s="29"/>
    </row>
    <row r="18" spans="1:10" x14ac:dyDescent="0.3">
      <c r="A18" s="12"/>
      <c r="B18" s="12"/>
      <c r="C18" s="22"/>
      <c r="D18" s="67"/>
      <c r="E18" s="68"/>
      <c r="F18" s="2" t="s">
        <v>23</v>
      </c>
      <c r="G18" s="2">
        <v>2</v>
      </c>
      <c r="H18" s="39"/>
      <c r="I18" s="31"/>
      <c r="J18" s="29"/>
    </row>
    <row r="19" spans="1:10" x14ac:dyDescent="0.3">
      <c r="A19" s="12"/>
      <c r="B19" s="12"/>
      <c r="C19" s="22"/>
      <c r="D19" s="67"/>
      <c r="E19" s="68"/>
      <c r="F19" s="10" t="s">
        <v>24</v>
      </c>
      <c r="G19" s="10">
        <v>4</v>
      </c>
      <c r="H19" s="39"/>
      <c r="I19" s="31"/>
      <c r="J19" s="29"/>
    </row>
    <row r="20" spans="1:10" x14ac:dyDescent="0.3">
      <c r="A20" s="12"/>
      <c r="B20" s="12"/>
      <c r="C20" s="22"/>
      <c r="D20" s="67"/>
      <c r="E20" s="68"/>
      <c r="F20" s="2" t="s">
        <v>25</v>
      </c>
      <c r="G20" s="2">
        <v>20</v>
      </c>
      <c r="H20" s="39"/>
      <c r="I20" s="31"/>
      <c r="J20" s="29"/>
    </row>
    <row r="21" spans="1:10" x14ac:dyDescent="0.3">
      <c r="A21" s="12"/>
      <c r="B21" s="12"/>
      <c r="C21" s="22"/>
      <c r="D21" s="67"/>
      <c r="E21" s="68"/>
      <c r="F21" s="10" t="s">
        <v>26</v>
      </c>
      <c r="G21" s="10" t="s">
        <v>27</v>
      </c>
      <c r="H21" s="40"/>
      <c r="I21" s="33"/>
      <c r="J21" s="29"/>
    </row>
    <row r="22" spans="1:10" x14ac:dyDescent="0.3">
      <c r="A22" s="12"/>
      <c r="B22" s="12"/>
      <c r="C22" s="22"/>
      <c r="D22" s="69"/>
      <c r="E22" s="70"/>
      <c r="F22" s="2" t="s">
        <v>28</v>
      </c>
      <c r="G22" s="2" t="s">
        <v>29</v>
      </c>
      <c r="H22" s="40"/>
      <c r="I22" s="31"/>
      <c r="J22" s="29"/>
    </row>
    <row r="23" spans="1:10" x14ac:dyDescent="0.3">
      <c r="A23" s="12"/>
      <c r="B23" s="12"/>
      <c r="C23" s="43"/>
      <c r="D23" s="28"/>
      <c r="E23" s="23"/>
      <c r="F23" s="36"/>
      <c r="G23" s="42"/>
      <c r="H23" s="41"/>
      <c r="I23" s="34"/>
      <c r="J23" s="29"/>
    </row>
    <row r="24" spans="1:10" x14ac:dyDescent="0.3">
      <c r="A24" s="23"/>
      <c r="B24" s="23"/>
      <c r="C24" s="44"/>
      <c r="D24" s="25"/>
      <c r="E24" s="12"/>
      <c r="F24" s="12"/>
      <c r="G24" s="22"/>
      <c r="H24" s="12"/>
      <c r="I24" s="31"/>
      <c r="J24" s="29"/>
    </row>
  </sheetData>
  <mergeCells count="34">
    <mergeCell ref="D17:E22"/>
    <mergeCell ref="G4:H6"/>
    <mergeCell ref="G7:H7"/>
    <mergeCell ref="G8:H8"/>
    <mergeCell ref="G9:H9"/>
    <mergeCell ref="G10:H10"/>
    <mergeCell ref="G11:H11"/>
    <mergeCell ref="A10:C10"/>
    <mergeCell ref="A11:C11"/>
    <mergeCell ref="D10:E10"/>
    <mergeCell ref="D11:E11"/>
    <mergeCell ref="D7:E7"/>
    <mergeCell ref="D8:E8"/>
    <mergeCell ref="D9:E9"/>
    <mergeCell ref="A7:C7"/>
    <mergeCell ref="A8:C8"/>
    <mergeCell ref="A15:E15"/>
    <mergeCell ref="D12:E12"/>
    <mergeCell ref="D13:E13"/>
    <mergeCell ref="A12:C12"/>
    <mergeCell ref="A13:C13"/>
    <mergeCell ref="A14:E14"/>
    <mergeCell ref="A9:C9"/>
    <mergeCell ref="D1:D3"/>
    <mergeCell ref="E1:E3"/>
    <mergeCell ref="D4:E6"/>
    <mergeCell ref="F4:F6"/>
    <mergeCell ref="I9:J9"/>
    <mergeCell ref="I10:J10"/>
    <mergeCell ref="I11:J11"/>
    <mergeCell ref="F1:J3"/>
    <mergeCell ref="I4:J6"/>
    <mergeCell ref="I7:J7"/>
    <mergeCell ref="I8:J8"/>
  </mergeCells>
  <printOptions horizontalCentered="1" verticalCentered="1"/>
  <pageMargins left="0.7" right="0.7" top="0.75" bottom="0.75" header="0.3" footer="0.3"/>
  <pageSetup paperSize="9" fitToHeight="0"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ANDREIA MIYUKI KUBOTA .</cp:lastModifiedBy>
  <cp:revision/>
  <dcterms:created xsi:type="dcterms:W3CDTF">2026-06-13T14:48:00Z</dcterms:created>
  <dcterms:modified xsi:type="dcterms:W3CDTF">2026-06-13T19:45:51Z</dcterms:modified>
  <cp:category/>
  <cp:contentStatus/>
</cp:coreProperties>
</file>